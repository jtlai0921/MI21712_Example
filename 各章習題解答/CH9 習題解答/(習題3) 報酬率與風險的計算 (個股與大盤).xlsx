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9章 投資的風險與報酬\"/>
    </mc:Choice>
  </mc:AlternateContent>
  <bookViews>
    <workbookView xWindow="720" yWindow="528" windowWidth="11232" windowHeight="7932"/>
  </bookViews>
  <sheets>
    <sheet name="標準差與幾何平均值" sheetId="24" r:id="rId1"/>
    <sheet name="報酬率Data" sheetId="3" r:id="rId2"/>
  </sheets>
  <calcPr calcId="162913"/>
</workbook>
</file>

<file path=xl/calcChain.xml><?xml version="1.0" encoding="utf-8"?>
<calcChain xmlns="http://schemas.openxmlformats.org/spreadsheetml/2006/main">
  <c r="J158" i="24" l="1"/>
  <c r="C161" i="24" l="1"/>
  <c r="D161" i="24"/>
  <c r="E161" i="24"/>
  <c r="F161" i="24"/>
  <c r="G161" i="24"/>
  <c r="H161" i="24"/>
  <c r="B161" i="24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7" i="24"/>
  <c r="K58" i="24"/>
  <c r="K59" i="24"/>
  <c r="K60" i="24"/>
  <c r="K61" i="24"/>
  <c r="K62" i="24"/>
  <c r="K63" i="24"/>
  <c r="K64" i="24"/>
  <c r="K65" i="24"/>
  <c r="K66" i="24"/>
  <c r="K67" i="24"/>
  <c r="K68" i="24"/>
  <c r="K69" i="24"/>
  <c r="K70" i="24"/>
  <c r="K71" i="24"/>
  <c r="K72" i="24"/>
  <c r="K73" i="24"/>
  <c r="K74" i="24"/>
  <c r="K75" i="24"/>
  <c r="K76" i="24"/>
  <c r="K77" i="24"/>
  <c r="K78" i="24"/>
  <c r="K79" i="24"/>
  <c r="K80" i="24"/>
  <c r="K81" i="24"/>
  <c r="K82" i="24"/>
  <c r="K83" i="24"/>
  <c r="K84" i="24"/>
  <c r="K85" i="24"/>
  <c r="K86" i="24"/>
  <c r="K87" i="24"/>
  <c r="K88" i="24"/>
  <c r="K89" i="24"/>
  <c r="K90" i="24"/>
  <c r="K91" i="24"/>
  <c r="K92" i="24"/>
  <c r="K93" i="24"/>
  <c r="K94" i="24"/>
  <c r="K95" i="24"/>
  <c r="K96" i="24"/>
  <c r="K97" i="24"/>
  <c r="K98" i="24"/>
  <c r="K99" i="24"/>
  <c r="K100" i="24"/>
  <c r="K101" i="24"/>
  <c r="K102" i="24"/>
  <c r="K103" i="24"/>
  <c r="K104" i="24"/>
  <c r="K105" i="24"/>
  <c r="K106" i="24"/>
  <c r="K107" i="24"/>
  <c r="K108" i="24"/>
  <c r="K109" i="24"/>
  <c r="K110" i="24"/>
  <c r="K111" i="24"/>
  <c r="K112" i="24"/>
  <c r="K113" i="24"/>
  <c r="K114" i="24"/>
  <c r="K115" i="24"/>
  <c r="K116" i="24"/>
  <c r="K117" i="24"/>
  <c r="K118" i="24"/>
  <c r="K119" i="24"/>
  <c r="K120" i="24"/>
  <c r="K121" i="24"/>
  <c r="K122" i="24"/>
  <c r="K123" i="24"/>
  <c r="K124" i="24"/>
  <c r="K125" i="24"/>
  <c r="K126" i="24"/>
  <c r="K127" i="24"/>
  <c r="K128" i="24"/>
  <c r="K129" i="24"/>
  <c r="K130" i="24"/>
  <c r="K131" i="24"/>
  <c r="K132" i="24"/>
  <c r="K133" i="24"/>
  <c r="K134" i="24"/>
  <c r="K135" i="24"/>
  <c r="K136" i="24"/>
  <c r="K137" i="24"/>
  <c r="K138" i="24"/>
  <c r="K139" i="24"/>
  <c r="K140" i="24"/>
  <c r="K141" i="24"/>
  <c r="K142" i="24"/>
  <c r="K143" i="24"/>
  <c r="K144" i="24"/>
  <c r="K145" i="24"/>
  <c r="K146" i="24"/>
  <c r="K147" i="24"/>
  <c r="K148" i="24"/>
  <c r="K149" i="24"/>
  <c r="K150" i="24"/>
  <c r="K151" i="24"/>
  <c r="K152" i="24"/>
  <c r="K153" i="24"/>
  <c r="K154" i="24"/>
  <c r="K155" i="24"/>
  <c r="K156" i="24"/>
  <c r="K157" i="24"/>
  <c r="K158" i="24"/>
  <c r="K160" i="24"/>
  <c r="L3" i="24"/>
  <c r="L4" i="24"/>
  <c r="L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L63" i="24"/>
  <c r="L64" i="24"/>
  <c r="L65" i="24"/>
  <c r="L66" i="24"/>
  <c r="L67" i="24"/>
  <c r="L68" i="24"/>
  <c r="L69" i="24"/>
  <c r="L70" i="24"/>
  <c r="L71" i="24"/>
  <c r="L72" i="24"/>
  <c r="L73" i="24"/>
  <c r="L74" i="24"/>
  <c r="L75" i="24"/>
  <c r="L76" i="24"/>
  <c r="L77" i="24"/>
  <c r="L78" i="24"/>
  <c r="L79" i="24"/>
  <c r="L80" i="24"/>
  <c r="L81" i="24"/>
  <c r="L82" i="24"/>
  <c r="L83" i="24"/>
  <c r="L84" i="24"/>
  <c r="L85" i="24"/>
  <c r="L86" i="24"/>
  <c r="L87" i="24"/>
  <c r="L88" i="24"/>
  <c r="L89" i="24"/>
  <c r="L90" i="24"/>
  <c r="L91" i="24"/>
  <c r="L92" i="24"/>
  <c r="L93" i="24"/>
  <c r="L94" i="24"/>
  <c r="L95" i="24"/>
  <c r="L96" i="24"/>
  <c r="L97" i="24"/>
  <c r="L98" i="24"/>
  <c r="L99" i="24"/>
  <c r="L100" i="24"/>
  <c r="L101" i="24"/>
  <c r="L102" i="24"/>
  <c r="L103" i="24"/>
  <c r="L104" i="24"/>
  <c r="L105" i="24"/>
  <c r="L106" i="24"/>
  <c r="L107" i="24"/>
  <c r="L108" i="24"/>
  <c r="L109" i="24"/>
  <c r="L110" i="24"/>
  <c r="L111" i="24"/>
  <c r="L112" i="24"/>
  <c r="L113" i="24"/>
  <c r="L114" i="24"/>
  <c r="L115" i="24"/>
  <c r="L116" i="24"/>
  <c r="L117" i="24"/>
  <c r="L118" i="24"/>
  <c r="L119" i="24"/>
  <c r="L120" i="24"/>
  <c r="L121" i="24"/>
  <c r="L122" i="24"/>
  <c r="L123" i="24"/>
  <c r="L124" i="24"/>
  <c r="L125" i="24"/>
  <c r="L126" i="24"/>
  <c r="L127" i="24"/>
  <c r="L128" i="24"/>
  <c r="L129" i="24"/>
  <c r="L130" i="24"/>
  <c r="L131" i="24"/>
  <c r="L132" i="24"/>
  <c r="L133" i="24"/>
  <c r="L134" i="24"/>
  <c r="L135" i="24"/>
  <c r="L136" i="24"/>
  <c r="L137" i="24"/>
  <c r="L138" i="24"/>
  <c r="L139" i="24"/>
  <c r="L140" i="24"/>
  <c r="L141" i="24"/>
  <c r="L142" i="24"/>
  <c r="L143" i="24"/>
  <c r="L144" i="24"/>
  <c r="L145" i="24"/>
  <c r="L146" i="24"/>
  <c r="L147" i="24"/>
  <c r="L148" i="24"/>
  <c r="L149" i="24"/>
  <c r="L150" i="24"/>
  <c r="L151" i="24"/>
  <c r="L152" i="24"/>
  <c r="L153" i="24"/>
  <c r="L154" i="24"/>
  <c r="L155" i="24"/>
  <c r="L156" i="24"/>
  <c r="L157" i="24"/>
  <c r="L158" i="24"/>
  <c r="L160" i="24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M103" i="24"/>
  <c r="M104" i="24"/>
  <c r="M105" i="24"/>
  <c r="M106" i="24"/>
  <c r="M107" i="24"/>
  <c r="M108" i="24"/>
  <c r="M109" i="24"/>
  <c r="M110" i="24"/>
  <c r="M111" i="24"/>
  <c r="M112" i="24"/>
  <c r="M113" i="24"/>
  <c r="M114" i="24"/>
  <c r="M115" i="24"/>
  <c r="M116" i="24"/>
  <c r="M117" i="24"/>
  <c r="M118" i="24"/>
  <c r="M119" i="24"/>
  <c r="M120" i="24"/>
  <c r="M121" i="24"/>
  <c r="M122" i="24"/>
  <c r="M123" i="24"/>
  <c r="M124" i="24"/>
  <c r="M125" i="24"/>
  <c r="M126" i="24"/>
  <c r="M127" i="24"/>
  <c r="M128" i="24"/>
  <c r="M129" i="24"/>
  <c r="M130" i="24"/>
  <c r="M131" i="24"/>
  <c r="M132" i="24"/>
  <c r="M133" i="24"/>
  <c r="M134" i="24"/>
  <c r="M135" i="24"/>
  <c r="M136" i="24"/>
  <c r="M137" i="24"/>
  <c r="M138" i="24"/>
  <c r="M139" i="24"/>
  <c r="M140" i="24"/>
  <c r="M141" i="24"/>
  <c r="M142" i="24"/>
  <c r="M143" i="24"/>
  <c r="M144" i="24"/>
  <c r="M145" i="24"/>
  <c r="M146" i="24"/>
  <c r="M147" i="24"/>
  <c r="M148" i="24"/>
  <c r="M149" i="24"/>
  <c r="M150" i="24"/>
  <c r="M151" i="24"/>
  <c r="M152" i="24"/>
  <c r="M153" i="24"/>
  <c r="M154" i="24"/>
  <c r="M155" i="24"/>
  <c r="M156" i="24"/>
  <c r="M157" i="24"/>
  <c r="M158" i="24"/>
  <c r="M160" i="24"/>
  <c r="N3" i="24"/>
  <c r="N4" i="24"/>
  <c r="N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6" i="24"/>
  <c r="N137" i="24"/>
  <c r="N138" i="24"/>
  <c r="N139" i="24"/>
  <c r="N140" i="24"/>
  <c r="N141" i="24"/>
  <c r="N142" i="24"/>
  <c r="N143" i="24"/>
  <c r="N144" i="24"/>
  <c r="N145" i="24"/>
  <c r="N146" i="24"/>
  <c r="N147" i="24"/>
  <c r="N148" i="24"/>
  <c r="N149" i="24"/>
  <c r="N150" i="24"/>
  <c r="N151" i="24"/>
  <c r="N152" i="24"/>
  <c r="N153" i="24"/>
  <c r="N154" i="24"/>
  <c r="N155" i="24"/>
  <c r="N156" i="24"/>
  <c r="N157" i="24"/>
  <c r="N158" i="24"/>
  <c r="N160" i="24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60" i="24"/>
  <c r="P3" i="24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P109" i="24"/>
  <c r="P110" i="24"/>
  <c r="P111" i="24"/>
  <c r="P112" i="24"/>
  <c r="P113" i="24"/>
  <c r="P114" i="24"/>
  <c r="P115" i="24"/>
  <c r="P116" i="24"/>
  <c r="P117" i="24"/>
  <c r="P118" i="24"/>
  <c r="P119" i="24"/>
  <c r="P120" i="24"/>
  <c r="P121" i="24"/>
  <c r="P122" i="24"/>
  <c r="P123" i="24"/>
  <c r="P124" i="24"/>
  <c r="P125" i="24"/>
  <c r="P126" i="24"/>
  <c r="P127" i="24"/>
  <c r="P128" i="24"/>
  <c r="P129" i="24"/>
  <c r="P130" i="24"/>
  <c r="P131" i="24"/>
  <c r="P132" i="24"/>
  <c r="P133" i="24"/>
  <c r="P134" i="24"/>
  <c r="P135" i="24"/>
  <c r="P136" i="24"/>
  <c r="P137" i="24"/>
  <c r="P138" i="24"/>
  <c r="P139" i="24"/>
  <c r="P140" i="24"/>
  <c r="P141" i="24"/>
  <c r="P142" i="24"/>
  <c r="P143" i="24"/>
  <c r="P144" i="24"/>
  <c r="P145" i="24"/>
  <c r="P146" i="24"/>
  <c r="P147" i="24"/>
  <c r="P148" i="24"/>
  <c r="P149" i="24"/>
  <c r="P150" i="24"/>
  <c r="P151" i="24"/>
  <c r="P152" i="24"/>
  <c r="P153" i="24"/>
  <c r="P154" i="24"/>
  <c r="P155" i="24"/>
  <c r="P156" i="24"/>
  <c r="P157" i="24"/>
  <c r="P158" i="24"/>
  <c r="P160" i="24"/>
  <c r="J3" i="24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22" i="24"/>
  <c r="J123" i="24"/>
  <c r="J124" i="24"/>
  <c r="J125" i="24"/>
  <c r="J126" i="24"/>
  <c r="J127" i="24"/>
  <c r="J128" i="24"/>
  <c r="J129" i="24"/>
  <c r="J130" i="24"/>
  <c r="J131" i="24"/>
  <c r="J132" i="24"/>
  <c r="J133" i="24"/>
  <c r="J134" i="24"/>
  <c r="J135" i="24"/>
  <c r="J136" i="24"/>
  <c r="J137" i="24"/>
  <c r="J138" i="24"/>
  <c r="J139" i="24"/>
  <c r="J140" i="24"/>
  <c r="J141" i="24"/>
  <c r="J142" i="24"/>
  <c r="J143" i="24"/>
  <c r="J144" i="24"/>
  <c r="J145" i="24"/>
  <c r="J146" i="24"/>
  <c r="J147" i="24"/>
  <c r="J148" i="24"/>
  <c r="J149" i="24"/>
  <c r="J150" i="24"/>
  <c r="J151" i="24"/>
  <c r="J152" i="24"/>
  <c r="J153" i="24"/>
  <c r="J154" i="24"/>
  <c r="J155" i="24"/>
  <c r="J156" i="24"/>
  <c r="J157" i="24"/>
  <c r="J160" i="24"/>
  <c r="C160" i="24"/>
  <c r="D160" i="24"/>
  <c r="E160" i="24"/>
  <c r="F160" i="24"/>
  <c r="G160" i="24"/>
  <c r="H160" i="24"/>
  <c r="B160" i="24"/>
</calcChain>
</file>

<file path=xl/sharedStrings.xml><?xml version="1.0" encoding="utf-8"?>
<sst xmlns="http://schemas.openxmlformats.org/spreadsheetml/2006/main" count="27" uniqueCount="11">
  <si>
    <t>年月</t>
  </si>
  <si>
    <t>1101台泥</t>
    <phoneticPr fontId="2" type="noConversion"/>
  </si>
  <si>
    <t>2002中鋼</t>
    <phoneticPr fontId="2" type="noConversion"/>
  </si>
  <si>
    <t>2303聯電</t>
    <phoneticPr fontId="2" type="noConversion"/>
  </si>
  <si>
    <t>2330台積電</t>
    <phoneticPr fontId="2" type="noConversion"/>
  </si>
  <si>
    <t>2317鴻海</t>
    <phoneticPr fontId="2" type="noConversion"/>
  </si>
  <si>
    <t>2501國建</t>
    <phoneticPr fontId="2" type="noConversion"/>
  </si>
  <si>
    <t>Y9999加權指數</t>
    <phoneticPr fontId="2" type="noConversion"/>
  </si>
  <si>
    <t>年化算術平均值</t>
    <phoneticPr fontId="2" type="noConversion"/>
  </si>
  <si>
    <t>年化標準差</t>
    <phoneticPr fontId="2" type="noConversion"/>
  </si>
  <si>
    <t>年化幾何平均值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</si>
</sst>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0.00_ "/>
  </numFmts>
  <fonts count="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  <xf numFmtId="176" fontId="0" fillId="0" borderId="0" xfId="1" applyNumberFormat="1" applyFont="1">
      <alignment vertical="center"/>
    </xf>
    <xf numFmtId="17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12501556813307E-2"/>
          <c:y val="3.081232492997199E-2"/>
          <c:w val="0.94447421225246664"/>
          <c:h val="0.85929045634001633"/>
        </c:manualLayout>
      </c:layout>
      <c:lineChart>
        <c:grouping val="standard"/>
        <c:varyColors val="0"/>
        <c:ser>
          <c:idx val="0"/>
          <c:order val="0"/>
          <c:tx>
            <c:strRef>
              <c:f>標準差與幾何平均值!$J$1</c:f>
              <c:strCache>
                <c:ptCount val="1"/>
                <c:pt idx="0">
                  <c:v>1101台泥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標準差與幾何平均值!$A$1:$A$158</c:f>
              <c:strCache>
                <c:ptCount val="158"/>
                <c:pt idx="0">
                  <c:v>年月</c:v>
                </c:pt>
                <c:pt idx="1">
                  <c:v>Aug-83</c:v>
                </c:pt>
                <c:pt idx="2">
                  <c:v>Sep-83</c:v>
                </c:pt>
                <c:pt idx="3">
                  <c:v>Oct-83</c:v>
                </c:pt>
                <c:pt idx="4">
                  <c:v>Nov-83</c:v>
                </c:pt>
                <c:pt idx="5">
                  <c:v>Dec-83</c:v>
                </c:pt>
                <c:pt idx="6">
                  <c:v>Jan-84</c:v>
                </c:pt>
                <c:pt idx="7">
                  <c:v>Feb-84</c:v>
                </c:pt>
                <c:pt idx="8">
                  <c:v>Mar-84</c:v>
                </c:pt>
                <c:pt idx="9">
                  <c:v>Apr-84</c:v>
                </c:pt>
                <c:pt idx="10">
                  <c:v>May-84</c:v>
                </c:pt>
                <c:pt idx="11">
                  <c:v>Jun-84</c:v>
                </c:pt>
                <c:pt idx="12">
                  <c:v>Jul-84</c:v>
                </c:pt>
                <c:pt idx="13">
                  <c:v>Aug-84</c:v>
                </c:pt>
                <c:pt idx="14">
                  <c:v>Sep-84</c:v>
                </c:pt>
                <c:pt idx="15">
                  <c:v>Oct-84</c:v>
                </c:pt>
                <c:pt idx="16">
                  <c:v>Nov-84</c:v>
                </c:pt>
                <c:pt idx="17">
                  <c:v>Dec-84</c:v>
                </c:pt>
                <c:pt idx="18">
                  <c:v>Jan-85</c:v>
                </c:pt>
                <c:pt idx="19">
                  <c:v>Feb-85</c:v>
                </c:pt>
                <c:pt idx="20">
                  <c:v>Mar-85</c:v>
                </c:pt>
                <c:pt idx="21">
                  <c:v>Apr-85</c:v>
                </c:pt>
                <c:pt idx="22">
                  <c:v>May-85</c:v>
                </c:pt>
                <c:pt idx="23">
                  <c:v>Jun-85</c:v>
                </c:pt>
                <c:pt idx="24">
                  <c:v>Jul-85</c:v>
                </c:pt>
                <c:pt idx="25">
                  <c:v>Aug-85</c:v>
                </c:pt>
                <c:pt idx="26">
                  <c:v>Sep-85</c:v>
                </c:pt>
                <c:pt idx="27">
                  <c:v>Oct-85</c:v>
                </c:pt>
                <c:pt idx="28">
                  <c:v>Nov-85</c:v>
                </c:pt>
                <c:pt idx="29">
                  <c:v>Dec-85</c:v>
                </c:pt>
                <c:pt idx="30">
                  <c:v>Jan-86</c:v>
                </c:pt>
                <c:pt idx="31">
                  <c:v>Feb-86</c:v>
                </c:pt>
                <c:pt idx="32">
                  <c:v>Mar-86</c:v>
                </c:pt>
                <c:pt idx="33">
                  <c:v>Apr-86</c:v>
                </c:pt>
                <c:pt idx="34">
                  <c:v>May-86</c:v>
                </c:pt>
                <c:pt idx="35">
                  <c:v>Jun-86</c:v>
                </c:pt>
                <c:pt idx="36">
                  <c:v>Jul-86</c:v>
                </c:pt>
                <c:pt idx="37">
                  <c:v>Aug-86</c:v>
                </c:pt>
                <c:pt idx="38">
                  <c:v>Sep-86</c:v>
                </c:pt>
                <c:pt idx="39">
                  <c:v>Oct-86</c:v>
                </c:pt>
                <c:pt idx="40">
                  <c:v>Nov-86</c:v>
                </c:pt>
                <c:pt idx="41">
                  <c:v>Dec-86</c:v>
                </c:pt>
                <c:pt idx="42">
                  <c:v>Jan-87</c:v>
                </c:pt>
                <c:pt idx="43">
                  <c:v>Feb-87</c:v>
                </c:pt>
                <c:pt idx="44">
                  <c:v>Mar-87</c:v>
                </c:pt>
                <c:pt idx="45">
                  <c:v>Apr-87</c:v>
                </c:pt>
                <c:pt idx="46">
                  <c:v>May-87</c:v>
                </c:pt>
                <c:pt idx="47">
                  <c:v>Jun-87</c:v>
                </c:pt>
                <c:pt idx="48">
                  <c:v>Jul-87</c:v>
                </c:pt>
                <c:pt idx="49">
                  <c:v>Aug-87</c:v>
                </c:pt>
                <c:pt idx="50">
                  <c:v>Sep-87</c:v>
                </c:pt>
                <c:pt idx="51">
                  <c:v>Oct-87</c:v>
                </c:pt>
                <c:pt idx="52">
                  <c:v>Nov-87</c:v>
                </c:pt>
                <c:pt idx="53">
                  <c:v>Dec-87</c:v>
                </c:pt>
                <c:pt idx="54">
                  <c:v>Jan-88</c:v>
                </c:pt>
                <c:pt idx="55">
                  <c:v>Feb-88</c:v>
                </c:pt>
                <c:pt idx="56">
                  <c:v>Mar-88</c:v>
                </c:pt>
                <c:pt idx="57">
                  <c:v>Apr-88</c:v>
                </c:pt>
                <c:pt idx="58">
                  <c:v>May-88</c:v>
                </c:pt>
                <c:pt idx="59">
                  <c:v>Jun-88</c:v>
                </c:pt>
                <c:pt idx="60">
                  <c:v>Jul-88</c:v>
                </c:pt>
                <c:pt idx="61">
                  <c:v>Aug-88</c:v>
                </c:pt>
                <c:pt idx="62">
                  <c:v>Sep-88</c:v>
                </c:pt>
                <c:pt idx="63">
                  <c:v>Oct-88</c:v>
                </c:pt>
                <c:pt idx="64">
                  <c:v>Nov-88</c:v>
                </c:pt>
                <c:pt idx="65">
                  <c:v>Dec-88</c:v>
                </c:pt>
                <c:pt idx="66">
                  <c:v>Jan-89</c:v>
                </c:pt>
                <c:pt idx="67">
                  <c:v>Feb-89</c:v>
                </c:pt>
                <c:pt idx="68">
                  <c:v>Mar-89</c:v>
                </c:pt>
                <c:pt idx="69">
                  <c:v>Apr-89</c:v>
                </c:pt>
                <c:pt idx="70">
                  <c:v>May-89</c:v>
                </c:pt>
                <c:pt idx="71">
                  <c:v>Jun-89</c:v>
                </c:pt>
                <c:pt idx="72">
                  <c:v>Jul-89</c:v>
                </c:pt>
                <c:pt idx="73">
                  <c:v>Aug-89</c:v>
                </c:pt>
                <c:pt idx="74">
                  <c:v>Sep-89</c:v>
                </c:pt>
                <c:pt idx="75">
                  <c:v>Oct-89</c:v>
                </c:pt>
                <c:pt idx="76">
                  <c:v>Nov-89</c:v>
                </c:pt>
                <c:pt idx="77">
                  <c:v>Dec-89</c:v>
                </c:pt>
                <c:pt idx="78">
                  <c:v>Jan-90</c:v>
                </c:pt>
                <c:pt idx="79">
                  <c:v>Feb-90</c:v>
                </c:pt>
                <c:pt idx="80">
                  <c:v>Mar-90</c:v>
                </c:pt>
                <c:pt idx="81">
                  <c:v>Apr-90</c:v>
                </c:pt>
                <c:pt idx="82">
                  <c:v>May-90</c:v>
                </c:pt>
                <c:pt idx="83">
                  <c:v>Jun-90</c:v>
                </c:pt>
                <c:pt idx="84">
                  <c:v>Jul-90</c:v>
                </c:pt>
                <c:pt idx="85">
                  <c:v>Aug-90</c:v>
                </c:pt>
                <c:pt idx="86">
                  <c:v>Sep-90</c:v>
                </c:pt>
                <c:pt idx="87">
                  <c:v>Oct-90</c:v>
                </c:pt>
                <c:pt idx="88">
                  <c:v>Nov-90</c:v>
                </c:pt>
                <c:pt idx="89">
                  <c:v>Dec-90</c:v>
                </c:pt>
                <c:pt idx="90">
                  <c:v>Jan-91</c:v>
                </c:pt>
                <c:pt idx="91">
                  <c:v>Feb-91</c:v>
                </c:pt>
                <c:pt idx="92">
                  <c:v>Mar-91</c:v>
                </c:pt>
                <c:pt idx="93">
                  <c:v>Apr-91</c:v>
                </c:pt>
                <c:pt idx="94">
                  <c:v>May-91</c:v>
                </c:pt>
                <c:pt idx="95">
                  <c:v>Jun-91</c:v>
                </c:pt>
                <c:pt idx="96">
                  <c:v>Jul-91</c:v>
                </c:pt>
                <c:pt idx="97">
                  <c:v>Aug-91</c:v>
                </c:pt>
                <c:pt idx="98">
                  <c:v>Sep-91</c:v>
                </c:pt>
                <c:pt idx="99">
                  <c:v>Oct-91</c:v>
                </c:pt>
                <c:pt idx="100">
                  <c:v>Nov-91</c:v>
                </c:pt>
                <c:pt idx="101">
                  <c:v>Dec-91</c:v>
                </c:pt>
                <c:pt idx="102">
                  <c:v>Jan-92</c:v>
                </c:pt>
                <c:pt idx="103">
                  <c:v>Feb-92</c:v>
                </c:pt>
                <c:pt idx="104">
                  <c:v>Mar-92</c:v>
                </c:pt>
                <c:pt idx="105">
                  <c:v>Apr-92</c:v>
                </c:pt>
                <c:pt idx="106">
                  <c:v>May-92</c:v>
                </c:pt>
                <c:pt idx="107">
                  <c:v>Jun-92</c:v>
                </c:pt>
                <c:pt idx="108">
                  <c:v>Jul-92</c:v>
                </c:pt>
                <c:pt idx="109">
                  <c:v>Aug-92</c:v>
                </c:pt>
                <c:pt idx="110">
                  <c:v>Sep-92</c:v>
                </c:pt>
                <c:pt idx="111">
                  <c:v>Oct-92</c:v>
                </c:pt>
                <c:pt idx="112">
                  <c:v>Nov-92</c:v>
                </c:pt>
                <c:pt idx="113">
                  <c:v>Dec-92</c:v>
                </c:pt>
                <c:pt idx="114">
                  <c:v>Jan-93</c:v>
                </c:pt>
                <c:pt idx="115">
                  <c:v>Feb-93</c:v>
                </c:pt>
                <c:pt idx="116">
                  <c:v>Mar-93</c:v>
                </c:pt>
                <c:pt idx="117">
                  <c:v>Apr-93</c:v>
                </c:pt>
                <c:pt idx="118">
                  <c:v>May-93</c:v>
                </c:pt>
                <c:pt idx="119">
                  <c:v>Jun-93</c:v>
                </c:pt>
                <c:pt idx="120">
                  <c:v>Jul-93</c:v>
                </c:pt>
                <c:pt idx="121">
                  <c:v>Aug-93</c:v>
                </c:pt>
                <c:pt idx="122">
                  <c:v>Sep-93</c:v>
                </c:pt>
                <c:pt idx="123">
                  <c:v>Oct-93</c:v>
                </c:pt>
                <c:pt idx="124">
                  <c:v>Nov-93</c:v>
                </c:pt>
                <c:pt idx="125">
                  <c:v>Dec-93</c:v>
                </c:pt>
                <c:pt idx="126">
                  <c:v>Jan-94</c:v>
                </c:pt>
                <c:pt idx="127">
                  <c:v>Feb-94</c:v>
                </c:pt>
                <c:pt idx="128">
                  <c:v>Mar-94</c:v>
                </c:pt>
                <c:pt idx="129">
                  <c:v>Apr-94</c:v>
                </c:pt>
                <c:pt idx="130">
                  <c:v>May-94</c:v>
                </c:pt>
                <c:pt idx="131">
                  <c:v>Jun-94</c:v>
                </c:pt>
                <c:pt idx="132">
                  <c:v>Jul-94</c:v>
                </c:pt>
                <c:pt idx="133">
                  <c:v>Aug-94</c:v>
                </c:pt>
                <c:pt idx="134">
                  <c:v>Sep-94</c:v>
                </c:pt>
                <c:pt idx="135">
                  <c:v>Oct-94</c:v>
                </c:pt>
                <c:pt idx="136">
                  <c:v>Nov-94</c:v>
                </c:pt>
                <c:pt idx="137">
                  <c:v>Dec-94</c:v>
                </c:pt>
                <c:pt idx="138">
                  <c:v>Jan-95</c:v>
                </c:pt>
                <c:pt idx="139">
                  <c:v>Feb-95</c:v>
                </c:pt>
                <c:pt idx="140">
                  <c:v>Mar-95</c:v>
                </c:pt>
                <c:pt idx="141">
                  <c:v>Apr-95</c:v>
                </c:pt>
                <c:pt idx="142">
                  <c:v>May-95</c:v>
                </c:pt>
                <c:pt idx="143">
                  <c:v>Jun-95</c:v>
                </c:pt>
                <c:pt idx="144">
                  <c:v>Jul-95</c:v>
                </c:pt>
                <c:pt idx="145">
                  <c:v>Aug-95</c:v>
                </c:pt>
                <c:pt idx="146">
                  <c:v>Sep-95</c:v>
                </c:pt>
                <c:pt idx="147">
                  <c:v>Oct-95</c:v>
                </c:pt>
                <c:pt idx="148">
                  <c:v>Nov-95</c:v>
                </c:pt>
                <c:pt idx="149">
                  <c:v>Dec-95</c:v>
                </c:pt>
                <c:pt idx="150">
                  <c:v>Jan-96</c:v>
                </c:pt>
                <c:pt idx="151">
                  <c:v>Feb-96</c:v>
                </c:pt>
                <c:pt idx="152">
                  <c:v>Mar-96</c:v>
                </c:pt>
                <c:pt idx="153">
                  <c:v>Apr-96</c:v>
                </c:pt>
                <c:pt idx="154">
                  <c:v>May-96</c:v>
                </c:pt>
                <c:pt idx="155">
                  <c:v>Jun-96</c:v>
                </c:pt>
                <c:pt idx="156">
                  <c:v>Jul-96</c:v>
                </c:pt>
                <c:pt idx="157">
                  <c:v>Aug-96</c:v>
                </c:pt>
              </c:strCache>
            </c:strRef>
          </c:cat>
          <c:val>
            <c:numRef>
              <c:f>標準差與幾何平均值!$J$2:$J$158</c:f>
              <c:numCache>
                <c:formatCode>General</c:formatCode>
                <c:ptCount val="157"/>
                <c:pt idx="0">
                  <c:v>1</c:v>
                </c:pt>
                <c:pt idx="1">
                  <c:v>1.0769</c:v>
                </c:pt>
                <c:pt idx="2">
                  <c:v>0.96156401000000002</c:v>
                </c:pt>
                <c:pt idx="3">
                  <c:v>0.92310144959999996</c:v>
                </c:pt>
                <c:pt idx="4">
                  <c:v>1.0095960554275198</c:v>
                </c:pt>
                <c:pt idx="5">
                  <c:v>1.0095960554275198</c:v>
                </c:pt>
                <c:pt idx="6">
                  <c:v>1.0672439901924311</c:v>
                </c:pt>
                <c:pt idx="7">
                  <c:v>1.0288232065455036</c:v>
                </c:pt>
                <c:pt idx="8">
                  <c:v>0.93262823673349904</c:v>
                </c:pt>
                <c:pt idx="9">
                  <c:v>0.917426396474743</c:v>
                </c:pt>
                <c:pt idx="10">
                  <c:v>0.94687578380158222</c:v>
                </c:pt>
                <c:pt idx="11">
                  <c:v>0.8889269858329254</c:v>
                </c:pt>
                <c:pt idx="12">
                  <c:v>0.76127707066731731</c:v>
                </c:pt>
                <c:pt idx="13">
                  <c:v>0.77231558819199342</c:v>
                </c:pt>
                <c:pt idx="14">
                  <c:v>0.70628260540157795</c:v>
                </c:pt>
                <c:pt idx="15">
                  <c:v>0.71066155755506777</c:v>
                </c:pt>
                <c:pt idx="16">
                  <c:v>0.81406281417933013</c:v>
                </c:pt>
                <c:pt idx="17">
                  <c:v>0.77449936141021469</c:v>
                </c:pt>
                <c:pt idx="18">
                  <c:v>0.83173486421842957</c:v>
                </c:pt>
                <c:pt idx="19">
                  <c:v>0.8669172489748691</c:v>
                </c:pt>
                <c:pt idx="20">
                  <c:v>1.1221376870730706</c:v>
                </c:pt>
                <c:pt idx="21">
                  <c:v>1.2112354194266723</c:v>
                </c:pt>
                <c:pt idx="22">
                  <c:v>1.6501871354268984</c:v>
                </c:pt>
                <c:pt idx="23">
                  <c:v>1.356783862747996</c:v>
                </c:pt>
                <c:pt idx="24">
                  <c:v>1.3689949175127278</c:v>
                </c:pt>
                <c:pt idx="25">
                  <c:v>1.3568108627468645</c:v>
                </c:pt>
                <c:pt idx="26">
                  <c:v>1.4546369259509135</c:v>
                </c:pt>
                <c:pt idx="27">
                  <c:v>1.515731676840852</c:v>
                </c:pt>
                <c:pt idx="28">
                  <c:v>1.4667735436788925</c:v>
                </c:pt>
                <c:pt idx="29">
                  <c:v>1.4667735436788925</c:v>
                </c:pt>
                <c:pt idx="30">
                  <c:v>1.5034428822708645</c:v>
                </c:pt>
                <c:pt idx="31">
                  <c:v>1.4545809885970615</c:v>
                </c:pt>
                <c:pt idx="32">
                  <c:v>1.3812701067717696</c:v>
                </c:pt>
                <c:pt idx="33">
                  <c:v>1.2590277023224681</c:v>
                </c:pt>
                <c:pt idx="34">
                  <c:v>1.2030009695691182</c:v>
                </c:pt>
                <c:pt idx="35">
                  <c:v>1.0758437670856624</c:v>
                </c:pt>
                <c:pt idx="36">
                  <c:v>1.0053760003415515</c:v>
                </c:pt>
                <c:pt idx="37">
                  <c:v>1.0243776067480068</c:v>
                </c:pt>
                <c:pt idx="38">
                  <c:v>0.88885244937524555</c:v>
                </c:pt>
                <c:pt idx="39">
                  <c:v>1.0297355626012221</c:v>
                </c:pt>
                <c:pt idx="40">
                  <c:v>1.0486826969530845</c:v>
                </c:pt>
                <c:pt idx="41">
                  <c:v>0.92672089929744073</c:v>
                </c:pt>
                <c:pt idx="42">
                  <c:v>0.98093407190634097</c:v>
                </c:pt>
                <c:pt idx="43">
                  <c:v>1.0351797260827615</c:v>
                </c:pt>
                <c:pt idx="44">
                  <c:v>0.95112313232484136</c:v>
                </c:pt>
                <c:pt idx="45">
                  <c:v>0.88321294067684764</c:v>
                </c:pt>
                <c:pt idx="46">
                  <c:v>0.86863992715567973</c:v>
                </c:pt>
                <c:pt idx="47">
                  <c:v>0.86255944766559001</c:v>
                </c:pt>
                <c:pt idx="48">
                  <c:v>0.84746465733144216</c:v>
                </c:pt>
                <c:pt idx="49">
                  <c:v>0.87170214653112132</c:v>
                </c:pt>
                <c:pt idx="50">
                  <c:v>0.89889925350289224</c:v>
                </c:pt>
                <c:pt idx="51">
                  <c:v>0.90195551096480209</c:v>
                </c:pt>
                <c:pt idx="52">
                  <c:v>0.84143429617906396</c:v>
                </c:pt>
                <c:pt idx="53">
                  <c:v>0.71429357402640736</c:v>
                </c:pt>
                <c:pt idx="54">
                  <c:v>0.72636513542745362</c:v>
                </c:pt>
                <c:pt idx="55">
                  <c:v>0.7626833921988263</c:v>
                </c:pt>
                <c:pt idx="56">
                  <c:v>0.82926565233778382</c:v>
                </c:pt>
                <c:pt idx="57">
                  <c:v>0.72942206779631469</c:v>
                </c:pt>
                <c:pt idx="58">
                  <c:v>0.75662951092511732</c:v>
                </c:pt>
                <c:pt idx="59">
                  <c:v>0.67589714210940732</c:v>
                </c:pt>
                <c:pt idx="60">
                  <c:v>0.6995535420832365</c:v>
                </c:pt>
                <c:pt idx="61">
                  <c:v>0.76713041424847717</c:v>
                </c:pt>
                <c:pt idx="62">
                  <c:v>0.70967234622126629</c:v>
                </c:pt>
                <c:pt idx="63">
                  <c:v>0.65900174070106787</c:v>
                </c:pt>
                <c:pt idx="64">
                  <c:v>1.0949313921748245</c:v>
                </c:pt>
                <c:pt idx="65">
                  <c:v>1.2943183986898599</c:v>
                </c:pt>
                <c:pt idx="66">
                  <c:v>1.4564964940456993</c:v>
                </c:pt>
                <c:pt idx="67">
                  <c:v>1.1590799099615674</c:v>
                </c:pt>
                <c:pt idx="68">
                  <c:v>0.84485334637098652</c:v>
                </c:pt>
                <c:pt idx="69">
                  <c:v>0.94285633455002105</c:v>
                </c:pt>
                <c:pt idx="70">
                  <c:v>0.82462215019744844</c:v>
                </c:pt>
                <c:pt idx="71">
                  <c:v>0.91244440919347669</c:v>
                </c:pt>
                <c:pt idx="72">
                  <c:v>0.72110481658560466</c:v>
                </c:pt>
                <c:pt idx="73">
                  <c:v>0.61805893829552172</c:v>
                </c:pt>
                <c:pt idx="74">
                  <c:v>0.60699568330003184</c:v>
                </c:pt>
                <c:pt idx="75">
                  <c:v>0.59965103553210142</c:v>
                </c:pt>
                <c:pt idx="76">
                  <c:v>0.56283246195043035</c:v>
                </c:pt>
                <c:pt idx="77">
                  <c:v>0.65845769723580838</c:v>
                </c:pt>
                <c:pt idx="78">
                  <c:v>0.59959157910292704</c:v>
                </c:pt>
                <c:pt idx="79">
                  <c:v>0.55546163888095157</c:v>
                </c:pt>
                <c:pt idx="80">
                  <c:v>0.46719878446276836</c:v>
                </c:pt>
                <c:pt idx="81">
                  <c:v>0.39548377104773341</c:v>
                </c:pt>
                <c:pt idx="82">
                  <c:v>0.35870378034029421</c:v>
                </c:pt>
                <c:pt idx="83">
                  <c:v>0.29367078496459886</c:v>
                </c:pt>
                <c:pt idx="84">
                  <c:v>0.35049608185524872</c:v>
                </c:pt>
                <c:pt idx="85">
                  <c:v>0.28607490201025404</c:v>
                </c:pt>
                <c:pt idx="86">
                  <c:v>0.2690248378504429</c:v>
                </c:pt>
                <c:pt idx="87">
                  <c:v>0.26523158763675164</c:v>
                </c:pt>
                <c:pt idx="88">
                  <c:v>0.32395386113952845</c:v>
                </c:pt>
                <c:pt idx="89">
                  <c:v>0.33341331388480266</c:v>
                </c:pt>
                <c:pt idx="90">
                  <c:v>0.30310604365267413</c:v>
                </c:pt>
                <c:pt idx="91">
                  <c:v>0.38646020565715949</c:v>
                </c:pt>
                <c:pt idx="92">
                  <c:v>0.41675868578068082</c:v>
                </c:pt>
                <c:pt idx="93">
                  <c:v>0.37887532124321693</c:v>
                </c:pt>
                <c:pt idx="94">
                  <c:v>0.41676285336753865</c:v>
                </c:pt>
                <c:pt idx="95">
                  <c:v>0.4444359068311432</c:v>
                </c:pt>
                <c:pt idx="96">
                  <c:v>0.39421464935922401</c:v>
                </c:pt>
                <c:pt idx="97">
                  <c:v>0.28793437989197718</c:v>
                </c:pt>
                <c:pt idx="98">
                  <c:v>0.31885853229237549</c:v>
                </c:pt>
                <c:pt idx="99">
                  <c:v>0.40389810285475203</c:v>
                </c:pt>
                <c:pt idx="100">
                  <c:v>0.40389810285475203</c:v>
                </c:pt>
                <c:pt idx="101">
                  <c:v>0.6029390879415738</c:v>
                </c:pt>
                <c:pt idx="102">
                  <c:v>0.47348806576051788</c:v>
                </c:pt>
                <c:pt idx="103">
                  <c:v>0.48120592123241429</c:v>
                </c:pt>
                <c:pt idx="104">
                  <c:v>0.38650459593387515</c:v>
                </c:pt>
                <c:pt idx="105">
                  <c:v>0.45607542320197264</c:v>
                </c:pt>
                <c:pt idx="106">
                  <c:v>0.44252998313287406</c:v>
                </c:pt>
                <c:pt idx="107">
                  <c:v>0.46571855424903669</c:v>
                </c:pt>
                <c:pt idx="108">
                  <c:v>0.50088030509483894</c:v>
                </c:pt>
                <c:pt idx="109">
                  <c:v>0.48695583261320241</c:v>
                </c:pt>
                <c:pt idx="110">
                  <c:v>0.67974164674476933</c:v>
                </c:pt>
                <c:pt idx="111">
                  <c:v>0.60021187407563137</c:v>
                </c:pt>
                <c:pt idx="112">
                  <c:v>0.66383433272764836</c:v>
                </c:pt>
                <c:pt idx="113">
                  <c:v>0.7314126677993229</c:v>
                </c:pt>
                <c:pt idx="114">
                  <c:v>0.79504556989786401</c:v>
                </c:pt>
                <c:pt idx="115">
                  <c:v>0.73144192430603494</c:v>
                </c:pt>
                <c:pt idx="116">
                  <c:v>0.56650177037502403</c:v>
                </c:pt>
                <c:pt idx="117">
                  <c:v>0.60825295085166331</c:v>
                </c:pt>
                <c:pt idx="118">
                  <c:v>0.60429930667112752</c:v>
                </c:pt>
                <c:pt idx="119">
                  <c:v>0.59438879804172107</c:v>
                </c:pt>
                <c:pt idx="120">
                  <c:v>0.71386094644810705</c:v>
                </c:pt>
                <c:pt idx="121">
                  <c:v>0.78945882067696171</c:v>
                </c:pt>
                <c:pt idx="122">
                  <c:v>0.7600909525477787</c:v>
                </c:pt>
                <c:pt idx="123">
                  <c:v>0.81466548294070928</c:v>
                </c:pt>
                <c:pt idx="124">
                  <c:v>0.8776391247720261</c:v>
                </c:pt>
                <c:pt idx="125">
                  <c:v>0.84402554629325754</c:v>
                </c:pt>
                <c:pt idx="126">
                  <c:v>0.84824567402472373</c:v>
                </c:pt>
                <c:pt idx="127">
                  <c:v>0.76842575609899721</c:v>
                </c:pt>
                <c:pt idx="128">
                  <c:v>0.7978564625575888</c:v>
                </c:pt>
                <c:pt idx="129">
                  <c:v>0.74958614657285472</c:v>
                </c:pt>
                <c:pt idx="130">
                  <c:v>0.82514443014739847</c:v>
                </c:pt>
                <c:pt idx="131">
                  <c:v>0.83141552781651873</c:v>
                </c:pt>
                <c:pt idx="132">
                  <c:v>0.8524503406702767</c:v>
                </c:pt>
                <c:pt idx="133">
                  <c:v>0.95670501733425162</c:v>
                </c:pt>
                <c:pt idx="134">
                  <c:v>0.94072804354476958</c:v>
                </c:pt>
                <c:pt idx="135">
                  <c:v>0.95672042028503057</c:v>
                </c:pt>
                <c:pt idx="136">
                  <c:v>1.0708571664250346</c:v>
                </c:pt>
                <c:pt idx="137">
                  <c:v>1.0914176240203954</c:v>
                </c:pt>
                <c:pt idx="138">
                  <c:v>1.1188122063833073</c:v>
                </c:pt>
                <c:pt idx="139">
                  <c:v>1.1416359753935268</c:v>
                </c:pt>
                <c:pt idx="140">
                  <c:v>1.1416359753935268</c:v>
                </c:pt>
                <c:pt idx="141">
                  <c:v>1.2420999412281573</c:v>
                </c:pt>
                <c:pt idx="142">
                  <c:v>1.0868374485746375</c:v>
                </c:pt>
                <c:pt idx="143">
                  <c:v>1.1028139590686845</c:v>
                </c:pt>
                <c:pt idx="144">
                  <c:v>1.0826324636177276</c:v>
                </c:pt>
                <c:pt idx="145">
                  <c:v>1.2231581573953085</c:v>
                </c:pt>
                <c:pt idx="146">
                  <c:v>1.2947129096029342</c:v>
                </c:pt>
                <c:pt idx="147">
                  <c:v>1.4476185042270409</c:v>
                </c:pt>
                <c:pt idx="148">
                  <c:v>1.452540407141413</c:v>
                </c:pt>
                <c:pt idx="149">
                  <c:v>1.390952693878617</c:v>
                </c:pt>
                <c:pt idx="150">
                  <c:v>1.3638291163479841</c:v>
                </c:pt>
                <c:pt idx="151">
                  <c:v>1.3761035783951159</c:v>
                </c:pt>
                <c:pt idx="152">
                  <c:v>1.4673392456427121</c:v>
                </c:pt>
                <c:pt idx="153">
                  <c:v>1.5339564473948915</c:v>
                </c:pt>
                <c:pt idx="154">
                  <c:v>1.8792500437034816</c:v>
                </c:pt>
                <c:pt idx="155">
                  <c:v>2.0737524232267917</c:v>
                </c:pt>
                <c:pt idx="156">
                  <c:v>2.2064725783133063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A-498C-9386-D72E300A92DB}"/>
            </c:ext>
          </c:extLst>
        </c:ser>
        <c:ser>
          <c:idx val="1"/>
          <c:order val="1"/>
          <c:tx>
            <c:strRef>
              <c:f>標準差與幾何平均值!$K$1</c:f>
              <c:strCache>
                <c:ptCount val="1"/>
                <c:pt idx="0">
                  <c:v>2002中鋼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標準差與幾何平均值!$A$1:$A$158</c:f>
              <c:strCache>
                <c:ptCount val="158"/>
                <c:pt idx="0">
                  <c:v>年月</c:v>
                </c:pt>
                <c:pt idx="1">
                  <c:v>Aug-83</c:v>
                </c:pt>
                <c:pt idx="2">
                  <c:v>Sep-83</c:v>
                </c:pt>
                <c:pt idx="3">
                  <c:v>Oct-83</c:v>
                </c:pt>
                <c:pt idx="4">
                  <c:v>Nov-83</c:v>
                </c:pt>
                <c:pt idx="5">
                  <c:v>Dec-83</c:v>
                </c:pt>
                <c:pt idx="6">
                  <c:v>Jan-84</c:v>
                </c:pt>
                <c:pt idx="7">
                  <c:v>Feb-84</c:v>
                </c:pt>
                <c:pt idx="8">
                  <c:v>Mar-84</c:v>
                </c:pt>
                <c:pt idx="9">
                  <c:v>Apr-84</c:v>
                </c:pt>
                <c:pt idx="10">
                  <c:v>May-84</c:v>
                </c:pt>
                <c:pt idx="11">
                  <c:v>Jun-84</c:v>
                </c:pt>
                <c:pt idx="12">
                  <c:v>Jul-84</c:v>
                </c:pt>
                <c:pt idx="13">
                  <c:v>Aug-84</c:v>
                </c:pt>
                <c:pt idx="14">
                  <c:v>Sep-84</c:v>
                </c:pt>
                <c:pt idx="15">
                  <c:v>Oct-84</c:v>
                </c:pt>
                <c:pt idx="16">
                  <c:v>Nov-84</c:v>
                </c:pt>
                <c:pt idx="17">
                  <c:v>Dec-84</c:v>
                </c:pt>
                <c:pt idx="18">
                  <c:v>Jan-85</c:v>
                </c:pt>
                <c:pt idx="19">
                  <c:v>Feb-85</c:v>
                </c:pt>
                <c:pt idx="20">
                  <c:v>Mar-85</c:v>
                </c:pt>
                <c:pt idx="21">
                  <c:v>Apr-85</c:v>
                </c:pt>
                <c:pt idx="22">
                  <c:v>May-85</c:v>
                </c:pt>
                <c:pt idx="23">
                  <c:v>Jun-85</c:v>
                </c:pt>
                <c:pt idx="24">
                  <c:v>Jul-85</c:v>
                </c:pt>
                <c:pt idx="25">
                  <c:v>Aug-85</c:v>
                </c:pt>
                <c:pt idx="26">
                  <c:v>Sep-85</c:v>
                </c:pt>
                <c:pt idx="27">
                  <c:v>Oct-85</c:v>
                </c:pt>
                <c:pt idx="28">
                  <c:v>Nov-85</c:v>
                </c:pt>
                <c:pt idx="29">
                  <c:v>Dec-85</c:v>
                </c:pt>
                <c:pt idx="30">
                  <c:v>Jan-86</c:v>
                </c:pt>
                <c:pt idx="31">
                  <c:v>Feb-86</c:v>
                </c:pt>
                <c:pt idx="32">
                  <c:v>Mar-86</c:v>
                </c:pt>
                <c:pt idx="33">
                  <c:v>Apr-86</c:v>
                </c:pt>
                <c:pt idx="34">
                  <c:v>May-86</c:v>
                </c:pt>
                <c:pt idx="35">
                  <c:v>Jun-86</c:v>
                </c:pt>
                <c:pt idx="36">
                  <c:v>Jul-86</c:v>
                </c:pt>
                <c:pt idx="37">
                  <c:v>Aug-86</c:v>
                </c:pt>
                <c:pt idx="38">
                  <c:v>Sep-86</c:v>
                </c:pt>
                <c:pt idx="39">
                  <c:v>Oct-86</c:v>
                </c:pt>
                <c:pt idx="40">
                  <c:v>Nov-86</c:v>
                </c:pt>
                <c:pt idx="41">
                  <c:v>Dec-86</c:v>
                </c:pt>
                <c:pt idx="42">
                  <c:v>Jan-87</c:v>
                </c:pt>
                <c:pt idx="43">
                  <c:v>Feb-87</c:v>
                </c:pt>
                <c:pt idx="44">
                  <c:v>Mar-87</c:v>
                </c:pt>
                <c:pt idx="45">
                  <c:v>Apr-87</c:v>
                </c:pt>
                <c:pt idx="46">
                  <c:v>May-87</c:v>
                </c:pt>
                <c:pt idx="47">
                  <c:v>Jun-87</c:v>
                </c:pt>
                <c:pt idx="48">
                  <c:v>Jul-87</c:v>
                </c:pt>
                <c:pt idx="49">
                  <c:v>Aug-87</c:v>
                </c:pt>
                <c:pt idx="50">
                  <c:v>Sep-87</c:v>
                </c:pt>
                <c:pt idx="51">
                  <c:v>Oct-87</c:v>
                </c:pt>
                <c:pt idx="52">
                  <c:v>Nov-87</c:v>
                </c:pt>
                <c:pt idx="53">
                  <c:v>Dec-87</c:v>
                </c:pt>
                <c:pt idx="54">
                  <c:v>Jan-88</c:v>
                </c:pt>
                <c:pt idx="55">
                  <c:v>Feb-88</c:v>
                </c:pt>
                <c:pt idx="56">
                  <c:v>Mar-88</c:v>
                </c:pt>
                <c:pt idx="57">
                  <c:v>Apr-88</c:v>
                </c:pt>
                <c:pt idx="58">
                  <c:v>May-88</c:v>
                </c:pt>
                <c:pt idx="59">
                  <c:v>Jun-88</c:v>
                </c:pt>
                <c:pt idx="60">
                  <c:v>Jul-88</c:v>
                </c:pt>
                <c:pt idx="61">
                  <c:v>Aug-88</c:v>
                </c:pt>
                <c:pt idx="62">
                  <c:v>Sep-88</c:v>
                </c:pt>
                <c:pt idx="63">
                  <c:v>Oct-88</c:v>
                </c:pt>
                <c:pt idx="64">
                  <c:v>Nov-88</c:v>
                </c:pt>
                <c:pt idx="65">
                  <c:v>Dec-88</c:v>
                </c:pt>
                <c:pt idx="66">
                  <c:v>Jan-89</c:v>
                </c:pt>
                <c:pt idx="67">
                  <c:v>Feb-89</c:v>
                </c:pt>
                <c:pt idx="68">
                  <c:v>Mar-89</c:v>
                </c:pt>
                <c:pt idx="69">
                  <c:v>Apr-89</c:v>
                </c:pt>
                <c:pt idx="70">
                  <c:v>May-89</c:v>
                </c:pt>
                <c:pt idx="71">
                  <c:v>Jun-89</c:v>
                </c:pt>
                <c:pt idx="72">
                  <c:v>Jul-89</c:v>
                </c:pt>
                <c:pt idx="73">
                  <c:v>Aug-89</c:v>
                </c:pt>
                <c:pt idx="74">
                  <c:v>Sep-89</c:v>
                </c:pt>
                <c:pt idx="75">
                  <c:v>Oct-89</c:v>
                </c:pt>
                <c:pt idx="76">
                  <c:v>Nov-89</c:v>
                </c:pt>
                <c:pt idx="77">
                  <c:v>Dec-89</c:v>
                </c:pt>
                <c:pt idx="78">
                  <c:v>Jan-90</c:v>
                </c:pt>
                <c:pt idx="79">
                  <c:v>Feb-90</c:v>
                </c:pt>
                <c:pt idx="80">
                  <c:v>Mar-90</c:v>
                </c:pt>
                <c:pt idx="81">
                  <c:v>Apr-90</c:v>
                </c:pt>
                <c:pt idx="82">
                  <c:v>May-90</c:v>
                </c:pt>
                <c:pt idx="83">
                  <c:v>Jun-90</c:v>
                </c:pt>
                <c:pt idx="84">
                  <c:v>Jul-90</c:v>
                </c:pt>
                <c:pt idx="85">
                  <c:v>Aug-90</c:v>
                </c:pt>
                <c:pt idx="86">
                  <c:v>Sep-90</c:v>
                </c:pt>
                <c:pt idx="87">
                  <c:v>Oct-90</c:v>
                </c:pt>
                <c:pt idx="88">
                  <c:v>Nov-90</c:v>
                </c:pt>
                <c:pt idx="89">
                  <c:v>Dec-90</c:v>
                </c:pt>
                <c:pt idx="90">
                  <c:v>Jan-91</c:v>
                </c:pt>
                <c:pt idx="91">
                  <c:v>Feb-91</c:v>
                </c:pt>
                <c:pt idx="92">
                  <c:v>Mar-91</c:v>
                </c:pt>
                <c:pt idx="93">
                  <c:v>Apr-91</c:v>
                </c:pt>
                <c:pt idx="94">
                  <c:v>May-91</c:v>
                </c:pt>
                <c:pt idx="95">
                  <c:v>Jun-91</c:v>
                </c:pt>
                <c:pt idx="96">
                  <c:v>Jul-91</c:v>
                </c:pt>
                <c:pt idx="97">
                  <c:v>Aug-91</c:v>
                </c:pt>
                <c:pt idx="98">
                  <c:v>Sep-91</c:v>
                </c:pt>
                <c:pt idx="99">
                  <c:v>Oct-91</c:v>
                </c:pt>
                <c:pt idx="100">
                  <c:v>Nov-91</c:v>
                </c:pt>
                <c:pt idx="101">
                  <c:v>Dec-91</c:v>
                </c:pt>
                <c:pt idx="102">
                  <c:v>Jan-92</c:v>
                </c:pt>
                <c:pt idx="103">
                  <c:v>Feb-92</c:v>
                </c:pt>
                <c:pt idx="104">
                  <c:v>Mar-92</c:v>
                </c:pt>
                <c:pt idx="105">
                  <c:v>Apr-92</c:v>
                </c:pt>
                <c:pt idx="106">
                  <c:v>May-92</c:v>
                </c:pt>
                <c:pt idx="107">
                  <c:v>Jun-92</c:v>
                </c:pt>
                <c:pt idx="108">
                  <c:v>Jul-92</c:v>
                </c:pt>
                <c:pt idx="109">
                  <c:v>Aug-92</c:v>
                </c:pt>
                <c:pt idx="110">
                  <c:v>Sep-92</c:v>
                </c:pt>
                <c:pt idx="111">
                  <c:v>Oct-92</c:v>
                </c:pt>
                <c:pt idx="112">
                  <c:v>Nov-92</c:v>
                </c:pt>
                <c:pt idx="113">
                  <c:v>Dec-92</c:v>
                </c:pt>
                <c:pt idx="114">
                  <c:v>Jan-93</c:v>
                </c:pt>
                <c:pt idx="115">
                  <c:v>Feb-93</c:v>
                </c:pt>
                <c:pt idx="116">
                  <c:v>Mar-93</c:v>
                </c:pt>
                <c:pt idx="117">
                  <c:v>Apr-93</c:v>
                </c:pt>
                <c:pt idx="118">
                  <c:v>May-93</c:v>
                </c:pt>
                <c:pt idx="119">
                  <c:v>Jun-93</c:v>
                </c:pt>
                <c:pt idx="120">
                  <c:v>Jul-93</c:v>
                </c:pt>
                <c:pt idx="121">
                  <c:v>Aug-93</c:v>
                </c:pt>
                <c:pt idx="122">
                  <c:v>Sep-93</c:v>
                </c:pt>
                <c:pt idx="123">
                  <c:v>Oct-93</c:v>
                </c:pt>
                <c:pt idx="124">
                  <c:v>Nov-93</c:v>
                </c:pt>
                <c:pt idx="125">
                  <c:v>Dec-93</c:v>
                </c:pt>
                <c:pt idx="126">
                  <c:v>Jan-94</c:v>
                </c:pt>
                <c:pt idx="127">
                  <c:v>Feb-94</c:v>
                </c:pt>
                <c:pt idx="128">
                  <c:v>Mar-94</c:v>
                </c:pt>
                <c:pt idx="129">
                  <c:v>Apr-94</c:v>
                </c:pt>
                <c:pt idx="130">
                  <c:v>May-94</c:v>
                </c:pt>
                <c:pt idx="131">
                  <c:v>Jun-94</c:v>
                </c:pt>
                <c:pt idx="132">
                  <c:v>Jul-94</c:v>
                </c:pt>
                <c:pt idx="133">
                  <c:v>Aug-94</c:v>
                </c:pt>
                <c:pt idx="134">
                  <c:v>Sep-94</c:v>
                </c:pt>
                <c:pt idx="135">
                  <c:v>Oct-94</c:v>
                </c:pt>
                <c:pt idx="136">
                  <c:v>Nov-94</c:v>
                </c:pt>
                <c:pt idx="137">
                  <c:v>Dec-94</c:v>
                </c:pt>
                <c:pt idx="138">
                  <c:v>Jan-95</c:v>
                </c:pt>
                <c:pt idx="139">
                  <c:v>Feb-95</c:v>
                </c:pt>
                <c:pt idx="140">
                  <c:v>Mar-95</c:v>
                </c:pt>
                <c:pt idx="141">
                  <c:v>Apr-95</c:v>
                </c:pt>
                <c:pt idx="142">
                  <c:v>May-95</c:v>
                </c:pt>
                <c:pt idx="143">
                  <c:v>Jun-95</c:v>
                </c:pt>
                <c:pt idx="144">
                  <c:v>Jul-95</c:v>
                </c:pt>
                <c:pt idx="145">
                  <c:v>Aug-95</c:v>
                </c:pt>
                <c:pt idx="146">
                  <c:v>Sep-95</c:v>
                </c:pt>
                <c:pt idx="147">
                  <c:v>Oct-95</c:v>
                </c:pt>
                <c:pt idx="148">
                  <c:v>Nov-95</c:v>
                </c:pt>
                <c:pt idx="149">
                  <c:v>Dec-95</c:v>
                </c:pt>
                <c:pt idx="150">
                  <c:v>Jan-96</c:v>
                </c:pt>
                <c:pt idx="151">
                  <c:v>Feb-96</c:v>
                </c:pt>
                <c:pt idx="152">
                  <c:v>Mar-96</c:v>
                </c:pt>
                <c:pt idx="153">
                  <c:v>Apr-96</c:v>
                </c:pt>
                <c:pt idx="154">
                  <c:v>May-96</c:v>
                </c:pt>
                <c:pt idx="155">
                  <c:v>Jun-96</c:v>
                </c:pt>
                <c:pt idx="156">
                  <c:v>Jul-96</c:v>
                </c:pt>
                <c:pt idx="157">
                  <c:v>Aug-96</c:v>
                </c:pt>
              </c:strCache>
            </c:strRef>
          </c:cat>
          <c:val>
            <c:numRef>
              <c:f>標準差與幾何平均值!$K$2:$K$158</c:f>
              <c:numCache>
                <c:formatCode>General</c:formatCode>
                <c:ptCount val="157"/>
                <c:pt idx="0">
                  <c:v>1</c:v>
                </c:pt>
                <c:pt idx="1">
                  <c:v>0.98229999999999995</c:v>
                </c:pt>
                <c:pt idx="2">
                  <c:v>0.92571952000000002</c:v>
                </c:pt>
                <c:pt idx="3">
                  <c:v>0.89989194539200001</c:v>
                </c:pt>
                <c:pt idx="4">
                  <c:v>1.1986560712621441</c:v>
                </c:pt>
                <c:pt idx="5">
                  <c:v>1.0031552660392884</c:v>
                </c:pt>
                <c:pt idx="6">
                  <c:v>1.0253249974187566</c:v>
                </c:pt>
                <c:pt idx="7">
                  <c:v>1.0031779774745115</c:v>
                </c:pt>
                <c:pt idx="8">
                  <c:v>0.89623920507572863</c:v>
                </c:pt>
                <c:pt idx="9">
                  <c:v>0.88889004359410762</c:v>
                </c:pt>
                <c:pt idx="10">
                  <c:v>0.85937889414678326</c:v>
                </c:pt>
                <c:pt idx="11">
                  <c:v>0.82251153958788625</c:v>
                </c:pt>
                <c:pt idx="12">
                  <c:v>0.77455911682991252</c:v>
                </c:pt>
                <c:pt idx="13">
                  <c:v>0.79299362381046445</c:v>
                </c:pt>
                <c:pt idx="14">
                  <c:v>0.78561878310902711</c:v>
                </c:pt>
                <c:pt idx="15">
                  <c:v>0.7320395821009914</c:v>
                </c:pt>
                <c:pt idx="16">
                  <c:v>0.86658845729115364</c:v>
                </c:pt>
                <c:pt idx="17">
                  <c:v>0.79136857919828152</c:v>
                </c:pt>
                <c:pt idx="18">
                  <c:v>0.79928226499026434</c:v>
                </c:pt>
                <c:pt idx="19">
                  <c:v>0.83493025400883014</c:v>
                </c:pt>
                <c:pt idx="20">
                  <c:v>1.0090132119696711</c:v>
                </c:pt>
                <c:pt idx="21">
                  <c:v>1.0406962268255189</c:v>
                </c:pt>
                <c:pt idx="22">
                  <c:v>1.1278025010108146</c:v>
                </c:pt>
                <c:pt idx="23">
                  <c:v>1.0367888391792419</c:v>
                </c:pt>
                <c:pt idx="24">
                  <c:v>1.0684108987742087</c:v>
                </c:pt>
                <c:pt idx="25">
                  <c:v>1.0129603731278272</c:v>
                </c:pt>
                <c:pt idx="26">
                  <c:v>0.96940307708333051</c:v>
                </c:pt>
                <c:pt idx="27">
                  <c:v>1.0635321158681219</c:v>
                </c:pt>
                <c:pt idx="28">
                  <c:v>1.0718276663718933</c:v>
                </c:pt>
                <c:pt idx="29">
                  <c:v>1.0552143375431291</c:v>
                </c:pt>
                <c:pt idx="30">
                  <c:v>1.1113517403004234</c:v>
                </c:pt>
                <c:pt idx="31">
                  <c:v>1.1241322853138784</c:v>
                </c:pt>
                <c:pt idx="32">
                  <c:v>1.2603771182939205</c:v>
                </c:pt>
                <c:pt idx="33">
                  <c:v>1.2773922093908885</c:v>
                </c:pt>
                <c:pt idx="34">
                  <c:v>1.2518443652030706</c:v>
                </c:pt>
                <c:pt idx="35">
                  <c:v>1.379532490453784</c:v>
                </c:pt>
                <c:pt idx="36">
                  <c:v>1.2475112311173568</c:v>
                </c:pt>
                <c:pt idx="37">
                  <c:v>1.1495815994746443</c:v>
                </c:pt>
                <c:pt idx="38">
                  <c:v>1.0091027280188429</c:v>
                </c:pt>
                <c:pt idx="39">
                  <c:v>1.0048644965611637</c:v>
                </c:pt>
                <c:pt idx="40">
                  <c:v>1.0474707512153572</c:v>
                </c:pt>
                <c:pt idx="41">
                  <c:v>1.0627638241831012</c:v>
                </c:pt>
                <c:pt idx="42">
                  <c:v>1.0627638241831012</c:v>
                </c:pt>
                <c:pt idx="43">
                  <c:v>1.077429964956828</c:v>
                </c:pt>
                <c:pt idx="44">
                  <c:v>1.0187100318666809</c:v>
                </c:pt>
                <c:pt idx="45">
                  <c:v>1.0040406074078008</c:v>
                </c:pt>
                <c:pt idx="46">
                  <c:v>1.028539198228551</c:v>
                </c:pt>
                <c:pt idx="47">
                  <c:v>0.9991229771592145</c:v>
                </c:pt>
                <c:pt idx="48">
                  <c:v>0.96974876163073365</c:v>
                </c:pt>
                <c:pt idx="49">
                  <c:v>1.0040778677924618</c:v>
                </c:pt>
                <c:pt idx="50">
                  <c:v>1.082395941480274</c:v>
                </c:pt>
                <c:pt idx="51">
                  <c:v>1.0333634053312175</c:v>
                </c:pt>
                <c:pt idx="52">
                  <c:v>0.95007431486152139</c:v>
                </c:pt>
                <c:pt idx="53">
                  <c:v>0.83255012211315116</c:v>
                </c:pt>
                <c:pt idx="54">
                  <c:v>0.90115225217527484</c:v>
                </c:pt>
                <c:pt idx="55">
                  <c:v>1.0627288509903017</c:v>
                </c:pt>
                <c:pt idx="56">
                  <c:v>1.2733617092565794</c:v>
                </c:pt>
                <c:pt idx="57">
                  <c:v>1.2149144068017024</c:v>
                </c:pt>
                <c:pt idx="58">
                  <c:v>1.3852454066353013</c:v>
                </c:pt>
                <c:pt idx="59">
                  <c:v>1.2375782462879781</c:v>
                </c:pt>
                <c:pt idx="60">
                  <c:v>1.4078690129772038</c:v>
                </c:pt>
                <c:pt idx="61">
                  <c:v>1.464606134200185</c:v>
                </c:pt>
                <c:pt idx="62">
                  <c:v>1.3738005538797735</c:v>
                </c:pt>
                <c:pt idx="63">
                  <c:v>1.2773597549974134</c:v>
                </c:pt>
                <c:pt idx="64">
                  <c:v>1.3170856433778328</c:v>
                </c:pt>
                <c:pt idx="65">
                  <c:v>1.459067475733963</c:v>
                </c:pt>
                <c:pt idx="66">
                  <c:v>1.3512423892772232</c:v>
                </c:pt>
                <c:pt idx="67">
                  <c:v>1.2434132466129009</c:v>
                </c:pt>
                <c:pt idx="68">
                  <c:v>1.2320981860687235</c:v>
                </c:pt>
                <c:pt idx="69">
                  <c:v>1.2945655641024076</c:v>
                </c:pt>
                <c:pt idx="70">
                  <c:v>1.2658262085793341</c:v>
                </c:pt>
                <c:pt idx="71">
                  <c:v>1.3260795361077105</c:v>
                </c:pt>
                <c:pt idx="72">
                  <c:v>1.2417408776112602</c:v>
                </c:pt>
                <c:pt idx="73">
                  <c:v>1.2419892257867824</c:v>
                </c:pt>
                <c:pt idx="74">
                  <c:v>1.1497094263108245</c:v>
                </c:pt>
                <c:pt idx="75">
                  <c:v>1.0944084029052739</c:v>
                </c:pt>
                <c:pt idx="76">
                  <c:v>1.2235485944480964</c:v>
                </c:pt>
                <c:pt idx="77">
                  <c:v>1.2420241782242625</c:v>
                </c:pt>
                <c:pt idx="78">
                  <c:v>1.3220105353019049</c:v>
                </c:pt>
                <c:pt idx="79">
                  <c:v>1.1990635555188278</c:v>
                </c:pt>
                <c:pt idx="80">
                  <c:v>1.1744827526306918</c:v>
                </c:pt>
                <c:pt idx="81">
                  <c:v>1.1191646149817862</c:v>
                </c:pt>
                <c:pt idx="82">
                  <c:v>1.0577224776192862</c:v>
                </c:pt>
                <c:pt idx="83">
                  <c:v>0.92645911814673276</c:v>
                </c:pt>
                <c:pt idx="84">
                  <c:v>0.85678939246209851</c:v>
                </c:pt>
                <c:pt idx="85">
                  <c:v>0.84633656187406092</c:v>
                </c:pt>
                <c:pt idx="86">
                  <c:v>0.93689457399458542</c:v>
                </c:pt>
                <c:pt idx="87">
                  <c:v>0.91946833491828617</c:v>
                </c:pt>
                <c:pt idx="88">
                  <c:v>0.95082220513899973</c:v>
                </c:pt>
                <c:pt idx="89">
                  <c:v>1.1632358857670524</c:v>
                </c:pt>
                <c:pt idx="90">
                  <c:v>1.2816532989381382</c:v>
                </c:pt>
                <c:pt idx="91">
                  <c:v>1.1354166575292965</c:v>
                </c:pt>
                <c:pt idx="92">
                  <c:v>1.1005593661431472</c:v>
                </c:pt>
                <c:pt idx="93">
                  <c:v>1.1562476700699904</c:v>
                </c:pt>
                <c:pt idx="94">
                  <c:v>1.197988210959517</c:v>
                </c:pt>
                <c:pt idx="95">
                  <c:v>1.1531834518696311</c:v>
                </c:pt>
                <c:pt idx="96">
                  <c:v>1.1829355849278675</c:v>
                </c:pt>
                <c:pt idx="97">
                  <c:v>1.1159814308209504</c:v>
                </c:pt>
                <c:pt idx="98">
                  <c:v>1.391294049804479</c:v>
                </c:pt>
                <c:pt idx="99">
                  <c:v>1.4359545888032028</c:v>
                </c:pt>
                <c:pt idx="100">
                  <c:v>1.4434215526649796</c:v>
                </c:pt>
                <c:pt idx="101">
                  <c:v>1.7484165267430898</c:v>
                </c:pt>
                <c:pt idx="102">
                  <c:v>1.6071444713822483</c:v>
                </c:pt>
                <c:pt idx="103">
                  <c:v>1.4583228933322521</c:v>
                </c:pt>
                <c:pt idx="104">
                  <c:v>1.4508854465762575</c:v>
                </c:pt>
                <c:pt idx="105">
                  <c:v>1.5029722341083451</c:v>
                </c:pt>
                <c:pt idx="106">
                  <c:v>1.7856813113441248</c:v>
                </c:pt>
                <c:pt idx="107">
                  <c:v>1.9249644536289667</c:v>
                </c:pt>
                <c:pt idx="108">
                  <c:v>2.1715524001388373</c:v>
                </c:pt>
                <c:pt idx="109">
                  <c:v>2.0601517620117149</c:v>
                </c:pt>
                <c:pt idx="110">
                  <c:v>2.1794345490321931</c:v>
                </c:pt>
                <c:pt idx="111">
                  <c:v>2.1715885846556771</c:v>
                </c:pt>
                <c:pt idx="112">
                  <c:v>2.2432510079493144</c:v>
                </c:pt>
                <c:pt idx="113">
                  <c:v>2.3388135008879551</c:v>
                </c:pt>
                <c:pt idx="114">
                  <c:v>2.7048378137769205</c:v>
                </c:pt>
                <c:pt idx="115">
                  <c:v>2.7126818434368731</c:v>
                </c:pt>
                <c:pt idx="116">
                  <c:v>2.3546078401032058</c:v>
                </c:pt>
                <c:pt idx="117">
                  <c:v>2.3546078401032058</c:v>
                </c:pt>
                <c:pt idx="118">
                  <c:v>2.5295552026228743</c:v>
                </c:pt>
                <c:pt idx="119">
                  <c:v>2.649203163706936</c:v>
                </c:pt>
                <c:pt idx="120">
                  <c:v>2.8751801935711376</c:v>
                </c:pt>
                <c:pt idx="121">
                  <c:v>3.1192829920053273</c:v>
                </c:pt>
                <c:pt idx="122">
                  <c:v>3.0378697059139883</c:v>
                </c:pt>
                <c:pt idx="123">
                  <c:v>3.2095093442981288</c:v>
                </c:pt>
                <c:pt idx="124">
                  <c:v>3.2367901737246627</c:v>
                </c:pt>
                <c:pt idx="125">
                  <c:v>3.2186641487518046</c:v>
                </c:pt>
                <c:pt idx="126">
                  <c:v>3.3451576497977502</c:v>
                </c:pt>
                <c:pt idx="127">
                  <c:v>3.1778997673078626</c:v>
                </c:pt>
                <c:pt idx="128">
                  <c:v>2.9112739768307332</c:v>
                </c:pt>
                <c:pt idx="129">
                  <c:v>2.766583660182246</c:v>
                </c:pt>
                <c:pt idx="130">
                  <c:v>2.8932931918185929</c:v>
                </c:pt>
                <c:pt idx="131">
                  <c:v>2.8698575169648621</c:v>
                </c:pt>
                <c:pt idx="132">
                  <c:v>3.0365962387005205</c:v>
                </c:pt>
                <c:pt idx="133">
                  <c:v>3.1817455389104055</c:v>
                </c:pt>
                <c:pt idx="134">
                  <c:v>2.8432078135703382</c:v>
                </c:pt>
                <c:pt idx="135">
                  <c:v>2.6982042150782508</c:v>
                </c:pt>
                <c:pt idx="136">
                  <c:v>2.6874113982179377</c:v>
                </c:pt>
                <c:pt idx="137">
                  <c:v>2.9024043100753731</c:v>
                </c:pt>
                <c:pt idx="138">
                  <c:v>3.1763912769464886</c:v>
                </c:pt>
                <c:pt idx="139">
                  <c:v>3.2678713457225474</c:v>
                </c:pt>
                <c:pt idx="140">
                  <c:v>3.3485877679618943</c:v>
                </c:pt>
                <c:pt idx="141">
                  <c:v>3.2786022836114905</c:v>
                </c:pt>
                <c:pt idx="142">
                  <c:v>3.4507289035010937</c:v>
                </c:pt>
                <c:pt idx="143">
                  <c:v>3.328573100317155</c:v>
                </c:pt>
                <c:pt idx="144">
                  <c:v>3.3791674114419763</c:v>
                </c:pt>
                <c:pt idx="145">
                  <c:v>3.6069232949731651</c:v>
                </c:pt>
                <c:pt idx="146">
                  <c:v>3.7209020710943173</c:v>
                </c:pt>
                <c:pt idx="147">
                  <c:v>4.1510383505128203</c:v>
                </c:pt>
                <c:pt idx="148">
                  <c:v>4.3789303559559736</c:v>
                </c:pt>
                <c:pt idx="149">
                  <c:v>4.3031748607979354</c:v>
                </c:pt>
                <c:pt idx="150">
                  <c:v>4.6194582130665829</c:v>
                </c:pt>
                <c:pt idx="151">
                  <c:v>4.7206243479327412</c:v>
                </c:pt>
                <c:pt idx="152">
                  <c:v>4.7838807141950399</c:v>
                </c:pt>
                <c:pt idx="153">
                  <c:v>4.8723825074076483</c:v>
                </c:pt>
                <c:pt idx="154">
                  <c:v>5.0624054251965465</c:v>
                </c:pt>
                <c:pt idx="155">
                  <c:v>5.9447826908083048</c:v>
                </c:pt>
                <c:pt idx="156">
                  <c:v>6.1938690855531728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2A-498C-9386-D72E300A92DB}"/>
            </c:ext>
          </c:extLst>
        </c:ser>
        <c:ser>
          <c:idx val="2"/>
          <c:order val="2"/>
          <c:tx>
            <c:strRef>
              <c:f>標準差與幾何平均值!$L$1</c:f>
              <c:strCache>
                <c:ptCount val="1"/>
                <c:pt idx="0">
                  <c:v>2303聯電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標準差與幾何平均值!$A$1:$A$158</c:f>
              <c:strCache>
                <c:ptCount val="158"/>
                <c:pt idx="0">
                  <c:v>年月</c:v>
                </c:pt>
                <c:pt idx="1">
                  <c:v>Aug-83</c:v>
                </c:pt>
                <c:pt idx="2">
                  <c:v>Sep-83</c:v>
                </c:pt>
                <c:pt idx="3">
                  <c:v>Oct-83</c:v>
                </c:pt>
                <c:pt idx="4">
                  <c:v>Nov-83</c:v>
                </c:pt>
                <c:pt idx="5">
                  <c:v>Dec-83</c:v>
                </c:pt>
                <c:pt idx="6">
                  <c:v>Jan-84</c:v>
                </c:pt>
                <c:pt idx="7">
                  <c:v>Feb-84</c:v>
                </c:pt>
                <c:pt idx="8">
                  <c:v>Mar-84</c:v>
                </c:pt>
                <c:pt idx="9">
                  <c:v>Apr-84</c:v>
                </c:pt>
                <c:pt idx="10">
                  <c:v>May-84</c:v>
                </c:pt>
                <c:pt idx="11">
                  <c:v>Jun-84</c:v>
                </c:pt>
                <c:pt idx="12">
                  <c:v>Jul-84</c:v>
                </c:pt>
                <c:pt idx="13">
                  <c:v>Aug-84</c:v>
                </c:pt>
                <c:pt idx="14">
                  <c:v>Sep-84</c:v>
                </c:pt>
                <c:pt idx="15">
                  <c:v>Oct-84</c:v>
                </c:pt>
                <c:pt idx="16">
                  <c:v>Nov-84</c:v>
                </c:pt>
                <c:pt idx="17">
                  <c:v>Dec-84</c:v>
                </c:pt>
                <c:pt idx="18">
                  <c:v>Jan-85</c:v>
                </c:pt>
                <c:pt idx="19">
                  <c:v>Feb-85</c:v>
                </c:pt>
                <c:pt idx="20">
                  <c:v>Mar-85</c:v>
                </c:pt>
                <c:pt idx="21">
                  <c:v>Apr-85</c:v>
                </c:pt>
                <c:pt idx="22">
                  <c:v>May-85</c:v>
                </c:pt>
                <c:pt idx="23">
                  <c:v>Jun-85</c:v>
                </c:pt>
                <c:pt idx="24">
                  <c:v>Jul-85</c:v>
                </c:pt>
                <c:pt idx="25">
                  <c:v>Aug-85</c:v>
                </c:pt>
                <c:pt idx="26">
                  <c:v>Sep-85</c:v>
                </c:pt>
                <c:pt idx="27">
                  <c:v>Oct-85</c:v>
                </c:pt>
                <c:pt idx="28">
                  <c:v>Nov-85</c:v>
                </c:pt>
                <c:pt idx="29">
                  <c:v>Dec-85</c:v>
                </c:pt>
                <c:pt idx="30">
                  <c:v>Jan-86</c:v>
                </c:pt>
                <c:pt idx="31">
                  <c:v>Feb-86</c:v>
                </c:pt>
                <c:pt idx="32">
                  <c:v>Mar-86</c:v>
                </c:pt>
                <c:pt idx="33">
                  <c:v>Apr-86</c:v>
                </c:pt>
                <c:pt idx="34">
                  <c:v>May-86</c:v>
                </c:pt>
                <c:pt idx="35">
                  <c:v>Jun-86</c:v>
                </c:pt>
                <c:pt idx="36">
                  <c:v>Jul-86</c:v>
                </c:pt>
                <c:pt idx="37">
                  <c:v>Aug-86</c:v>
                </c:pt>
                <c:pt idx="38">
                  <c:v>Sep-86</c:v>
                </c:pt>
                <c:pt idx="39">
                  <c:v>Oct-86</c:v>
                </c:pt>
                <c:pt idx="40">
                  <c:v>Nov-86</c:v>
                </c:pt>
                <c:pt idx="41">
                  <c:v>Dec-86</c:v>
                </c:pt>
                <c:pt idx="42">
                  <c:v>Jan-87</c:v>
                </c:pt>
                <c:pt idx="43">
                  <c:v>Feb-87</c:v>
                </c:pt>
                <c:pt idx="44">
                  <c:v>Mar-87</c:v>
                </c:pt>
                <c:pt idx="45">
                  <c:v>Apr-87</c:v>
                </c:pt>
                <c:pt idx="46">
                  <c:v>May-87</c:v>
                </c:pt>
                <c:pt idx="47">
                  <c:v>Jun-87</c:v>
                </c:pt>
                <c:pt idx="48">
                  <c:v>Jul-87</c:v>
                </c:pt>
                <c:pt idx="49">
                  <c:v>Aug-87</c:v>
                </c:pt>
                <c:pt idx="50">
                  <c:v>Sep-87</c:v>
                </c:pt>
                <c:pt idx="51">
                  <c:v>Oct-87</c:v>
                </c:pt>
                <c:pt idx="52">
                  <c:v>Nov-87</c:v>
                </c:pt>
                <c:pt idx="53">
                  <c:v>Dec-87</c:v>
                </c:pt>
                <c:pt idx="54">
                  <c:v>Jan-88</c:v>
                </c:pt>
                <c:pt idx="55">
                  <c:v>Feb-88</c:v>
                </c:pt>
                <c:pt idx="56">
                  <c:v>Mar-88</c:v>
                </c:pt>
                <c:pt idx="57">
                  <c:v>Apr-88</c:v>
                </c:pt>
                <c:pt idx="58">
                  <c:v>May-88</c:v>
                </c:pt>
                <c:pt idx="59">
                  <c:v>Jun-88</c:v>
                </c:pt>
                <c:pt idx="60">
                  <c:v>Jul-88</c:v>
                </c:pt>
                <c:pt idx="61">
                  <c:v>Aug-88</c:v>
                </c:pt>
                <c:pt idx="62">
                  <c:v>Sep-88</c:v>
                </c:pt>
                <c:pt idx="63">
                  <c:v>Oct-88</c:v>
                </c:pt>
                <c:pt idx="64">
                  <c:v>Nov-88</c:v>
                </c:pt>
                <c:pt idx="65">
                  <c:v>Dec-88</c:v>
                </c:pt>
                <c:pt idx="66">
                  <c:v>Jan-89</c:v>
                </c:pt>
                <c:pt idx="67">
                  <c:v>Feb-89</c:v>
                </c:pt>
                <c:pt idx="68">
                  <c:v>Mar-89</c:v>
                </c:pt>
                <c:pt idx="69">
                  <c:v>Apr-89</c:v>
                </c:pt>
                <c:pt idx="70">
                  <c:v>May-89</c:v>
                </c:pt>
                <c:pt idx="71">
                  <c:v>Jun-89</c:v>
                </c:pt>
                <c:pt idx="72">
                  <c:v>Jul-89</c:v>
                </c:pt>
                <c:pt idx="73">
                  <c:v>Aug-89</c:v>
                </c:pt>
                <c:pt idx="74">
                  <c:v>Sep-89</c:v>
                </c:pt>
                <c:pt idx="75">
                  <c:v>Oct-89</c:v>
                </c:pt>
                <c:pt idx="76">
                  <c:v>Nov-89</c:v>
                </c:pt>
                <c:pt idx="77">
                  <c:v>Dec-89</c:v>
                </c:pt>
                <c:pt idx="78">
                  <c:v>Jan-90</c:v>
                </c:pt>
                <c:pt idx="79">
                  <c:v>Feb-90</c:v>
                </c:pt>
                <c:pt idx="80">
                  <c:v>Mar-90</c:v>
                </c:pt>
                <c:pt idx="81">
                  <c:v>Apr-90</c:v>
                </c:pt>
                <c:pt idx="82">
                  <c:v>May-90</c:v>
                </c:pt>
                <c:pt idx="83">
                  <c:v>Jun-90</c:v>
                </c:pt>
                <c:pt idx="84">
                  <c:v>Jul-90</c:v>
                </c:pt>
                <c:pt idx="85">
                  <c:v>Aug-90</c:v>
                </c:pt>
                <c:pt idx="86">
                  <c:v>Sep-90</c:v>
                </c:pt>
                <c:pt idx="87">
                  <c:v>Oct-90</c:v>
                </c:pt>
                <c:pt idx="88">
                  <c:v>Nov-90</c:v>
                </c:pt>
                <c:pt idx="89">
                  <c:v>Dec-90</c:v>
                </c:pt>
                <c:pt idx="90">
                  <c:v>Jan-91</c:v>
                </c:pt>
                <c:pt idx="91">
                  <c:v>Feb-91</c:v>
                </c:pt>
                <c:pt idx="92">
                  <c:v>Mar-91</c:v>
                </c:pt>
                <c:pt idx="93">
                  <c:v>Apr-91</c:v>
                </c:pt>
                <c:pt idx="94">
                  <c:v>May-91</c:v>
                </c:pt>
                <c:pt idx="95">
                  <c:v>Jun-91</c:v>
                </c:pt>
                <c:pt idx="96">
                  <c:v>Jul-91</c:v>
                </c:pt>
                <c:pt idx="97">
                  <c:v>Aug-91</c:v>
                </c:pt>
                <c:pt idx="98">
                  <c:v>Sep-91</c:v>
                </c:pt>
                <c:pt idx="99">
                  <c:v>Oct-91</c:v>
                </c:pt>
                <c:pt idx="100">
                  <c:v>Nov-91</c:v>
                </c:pt>
                <c:pt idx="101">
                  <c:v>Dec-91</c:v>
                </c:pt>
                <c:pt idx="102">
                  <c:v>Jan-92</c:v>
                </c:pt>
                <c:pt idx="103">
                  <c:v>Feb-92</c:v>
                </c:pt>
                <c:pt idx="104">
                  <c:v>Mar-92</c:v>
                </c:pt>
                <c:pt idx="105">
                  <c:v>Apr-92</c:v>
                </c:pt>
                <c:pt idx="106">
                  <c:v>May-92</c:v>
                </c:pt>
                <c:pt idx="107">
                  <c:v>Jun-92</c:v>
                </c:pt>
                <c:pt idx="108">
                  <c:v>Jul-92</c:v>
                </c:pt>
                <c:pt idx="109">
                  <c:v>Aug-92</c:v>
                </c:pt>
                <c:pt idx="110">
                  <c:v>Sep-92</c:v>
                </c:pt>
                <c:pt idx="111">
                  <c:v>Oct-92</c:v>
                </c:pt>
                <c:pt idx="112">
                  <c:v>Nov-92</c:v>
                </c:pt>
                <c:pt idx="113">
                  <c:v>Dec-92</c:v>
                </c:pt>
                <c:pt idx="114">
                  <c:v>Jan-93</c:v>
                </c:pt>
                <c:pt idx="115">
                  <c:v>Feb-93</c:v>
                </c:pt>
                <c:pt idx="116">
                  <c:v>Mar-93</c:v>
                </c:pt>
                <c:pt idx="117">
                  <c:v>Apr-93</c:v>
                </c:pt>
                <c:pt idx="118">
                  <c:v>May-93</c:v>
                </c:pt>
                <c:pt idx="119">
                  <c:v>Jun-93</c:v>
                </c:pt>
                <c:pt idx="120">
                  <c:v>Jul-93</c:v>
                </c:pt>
                <c:pt idx="121">
                  <c:v>Aug-93</c:v>
                </c:pt>
                <c:pt idx="122">
                  <c:v>Sep-93</c:v>
                </c:pt>
                <c:pt idx="123">
                  <c:v>Oct-93</c:v>
                </c:pt>
                <c:pt idx="124">
                  <c:v>Nov-93</c:v>
                </c:pt>
                <c:pt idx="125">
                  <c:v>Dec-93</c:v>
                </c:pt>
                <c:pt idx="126">
                  <c:v>Jan-94</c:v>
                </c:pt>
                <c:pt idx="127">
                  <c:v>Feb-94</c:v>
                </c:pt>
                <c:pt idx="128">
                  <c:v>Mar-94</c:v>
                </c:pt>
                <c:pt idx="129">
                  <c:v>Apr-94</c:v>
                </c:pt>
                <c:pt idx="130">
                  <c:v>May-94</c:v>
                </c:pt>
                <c:pt idx="131">
                  <c:v>Jun-94</c:v>
                </c:pt>
                <c:pt idx="132">
                  <c:v>Jul-94</c:v>
                </c:pt>
                <c:pt idx="133">
                  <c:v>Aug-94</c:v>
                </c:pt>
                <c:pt idx="134">
                  <c:v>Sep-94</c:v>
                </c:pt>
                <c:pt idx="135">
                  <c:v>Oct-94</c:v>
                </c:pt>
                <c:pt idx="136">
                  <c:v>Nov-94</c:v>
                </c:pt>
                <c:pt idx="137">
                  <c:v>Dec-94</c:v>
                </c:pt>
                <c:pt idx="138">
                  <c:v>Jan-95</c:v>
                </c:pt>
                <c:pt idx="139">
                  <c:v>Feb-95</c:v>
                </c:pt>
                <c:pt idx="140">
                  <c:v>Mar-95</c:v>
                </c:pt>
                <c:pt idx="141">
                  <c:v>Apr-95</c:v>
                </c:pt>
                <c:pt idx="142">
                  <c:v>May-95</c:v>
                </c:pt>
                <c:pt idx="143">
                  <c:v>Jun-95</c:v>
                </c:pt>
                <c:pt idx="144">
                  <c:v>Jul-95</c:v>
                </c:pt>
                <c:pt idx="145">
                  <c:v>Aug-95</c:v>
                </c:pt>
                <c:pt idx="146">
                  <c:v>Sep-95</c:v>
                </c:pt>
                <c:pt idx="147">
                  <c:v>Oct-95</c:v>
                </c:pt>
                <c:pt idx="148">
                  <c:v>Nov-95</c:v>
                </c:pt>
                <c:pt idx="149">
                  <c:v>Dec-95</c:v>
                </c:pt>
                <c:pt idx="150">
                  <c:v>Jan-96</c:v>
                </c:pt>
                <c:pt idx="151">
                  <c:v>Feb-96</c:v>
                </c:pt>
                <c:pt idx="152">
                  <c:v>Mar-96</c:v>
                </c:pt>
                <c:pt idx="153">
                  <c:v>Apr-96</c:v>
                </c:pt>
                <c:pt idx="154">
                  <c:v>May-96</c:v>
                </c:pt>
                <c:pt idx="155">
                  <c:v>Jun-96</c:v>
                </c:pt>
                <c:pt idx="156">
                  <c:v>Jul-96</c:v>
                </c:pt>
                <c:pt idx="157">
                  <c:v>Aug-96</c:v>
                </c:pt>
              </c:strCache>
            </c:strRef>
          </c:cat>
          <c:val>
            <c:numRef>
              <c:f>標準差與幾何平均值!$L$2:$L$158</c:f>
              <c:numCache>
                <c:formatCode>General</c:formatCode>
                <c:ptCount val="157"/>
                <c:pt idx="0">
                  <c:v>1</c:v>
                </c:pt>
                <c:pt idx="1">
                  <c:v>0.91349999999999998</c:v>
                </c:pt>
                <c:pt idx="2">
                  <c:v>0.83740545</c:v>
                </c:pt>
                <c:pt idx="3">
                  <c:v>0.83045498476500001</c:v>
                </c:pt>
                <c:pt idx="4">
                  <c:v>0.86508495762970061</c:v>
                </c:pt>
                <c:pt idx="5">
                  <c:v>0.70936966525635459</c:v>
                </c:pt>
                <c:pt idx="6">
                  <c:v>0.75434370203360734</c:v>
                </c:pt>
                <c:pt idx="7">
                  <c:v>0.89276577135677426</c:v>
                </c:pt>
                <c:pt idx="8">
                  <c:v>0.87892790190074432</c:v>
                </c:pt>
                <c:pt idx="9">
                  <c:v>0.87892790190074432</c:v>
                </c:pt>
                <c:pt idx="10">
                  <c:v>0.91698548005304648</c:v>
                </c:pt>
                <c:pt idx="11">
                  <c:v>0.8305137492840442</c:v>
                </c:pt>
                <c:pt idx="12">
                  <c:v>0.77146422170994866</c:v>
                </c:pt>
                <c:pt idx="13">
                  <c:v>0.77146422170994866</c:v>
                </c:pt>
                <c:pt idx="14">
                  <c:v>0.6880689393431032</c:v>
                </c:pt>
                <c:pt idx="15">
                  <c:v>0.6672204504810072</c:v>
                </c:pt>
                <c:pt idx="16">
                  <c:v>0.70892172863607017</c:v>
                </c:pt>
                <c:pt idx="17">
                  <c:v>0.63072766196751162</c:v>
                </c:pt>
                <c:pt idx="18">
                  <c:v>0.64113466838997557</c:v>
                </c:pt>
                <c:pt idx="19">
                  <c:v>0.63594147757601682</c:v>
                </c:pt>
                <c:pt idx="20">
                  <c:v>0.77146060644746606</c:v>
                </c:pt>
                <c:pt idx="21">
                  <c:v>0.78064098766419088</c:v>
                </c:pt>
                <c:pt idx="22">
                  <c:v>0.82287366509682358</c:v>
                </c:pt>
                <c:pt idx="23">
                  <c:v>0.69409393650917073</c:v>
                </c:pt>
                <c:pt idx="24">
                  <c:v>0.7142226606679366</c:v>
                </c:pt>
                <c:pt idx="25">
                  <c:v>0.72229337673348437</c:v>
                </c:pt>
                <c:pt idx="26">
                  <c:v>0.70618623443232764</c:v>
                </c:pt>
                <c:pt idx="27">
                  <c:v>0.82284820036054818</c:v>
                </c:pt>
                <c:pt idx="28">
                  <c:v>0.78458575904378269</c:v>
                </c:pt>
                <c:pt idx="29">
                  <c:v>0.79266699236193361</c:v>
                </c:pt>
                <c:pt idx="30">
                  <c:v>0.8992807028346137</c:v>
                </c:pt>
                <c:pt idx="31">
                  <c:v>1.0864210170944968</c:v>
                </c:pt>
                <c:pt idx="32">
                  <c:v>1.3479225559091421</c:v>
                </c:pt>
                <c:pt idx="33">
                  <c:v>1.5189739282540122</c:v>
                </c:pt>
                <c:pt idx="34">
                  <c:v>2.2834735063442562</c:v>
                </c:pt>
                <c:pt idx="35">
                  <c:v>3.5569666808324478</c:v>
                </c:pt>
                <c:pt idx="36">
                  <c:v>3.3737828967695767</c:v>
                </c:pt>
                <c:pt idx="37">
                  <c:v>2.2361433039788756</c:v>
                </c:pt>
                <c:pt idx="38">
                  <c:v>1.621427509715083</c:v>
                </c:pt>
                <c:pt idx="39">
                  <c:v>1.6737996182788801</c:v>
                </c:pt>
                <c:pt idx="40">
                  <c:v>1.6737996182788801</c:v>
                </c:pt>
                <c:pt idx="41">
                  <c:v>1.6607439812563047</c:v>
                </c:pt>
                <c:pt idx="42">
                  <c:v>2.3800121995384105</c:v>
                </c:pt>
                <c:pt idx="43">
                  <c:v>2.0399084562243717</c:v>
                </c:pt>
                <c:pt idx="44">
                  <c:v>1.6215232318527528</c:v>
                </c:pt>
                <c:pt idx="45">
                  <c:v>1.5169349833982502</c:v>
                </c:pt>
                <c:pt idx="46">
                  <c:v>1.3326273829153628</c:v>
                </c:pt>
                <c:pt idx="47">
                  <c:v>1.3663428557031216</c:v>
                </c:pt>
                <c:pt idx="48">
                  <c:v>1.0694365531588332</c:v>
                </c:pt>
                <c:pt idx="49">
                  <c:v>1.1909245455976767</c:v>
                </c:pt>
                <c:pt idx="50">
                  <c:v>1.282030273335899</c:v>
                </c:pt>
                <c:pt idx="51">
                  <c:v>1.545231088451759</c:v>
                </c:pt>
                <c:pt idx="52">
                  <c:v>1.3596488347287028</c:v>
                </c:pt>
                <c:pt idx="53">
                  <c:v>1.528381255118535</c:v>
                </c:pt>
                <c:pt idx="54">
                  <c:v>1.6329225329686428</c:v>
                </c:pt>
                <c:pt idx="55">
                  <c:v>1.9399119691667475</c:v>
                </c:pt>
                <c:pt idx="56">
                  <c:v>1.720701916650905</c:v>
                </c:pt>
                <c:pt idx="57">
                  <c:v>1.9230564620490513</c:v>
                </c:pt>
                <c:pt idx="58">
                  <c:v>2.69650977108518</c:v>
                </c:pt>
                <c:pt idx="59">
                  <c:v>2.3473117557296495</c:v>
                </c:pt>
                <c:pt idx="60">
                  <c:v>3.1425809785708547</c:v>
                </c:pt>
                <c:pt idx="61">
                  <c:v>2.8710619820223329</c:v>
                </c:pt>
                <c:pt idx="62">
                  <c:v>3.3559843507859051</c:v>
                </c:pt>
                <c:pt idx="63">
                  <c:v>3.4529722985236173</c:v>
                </c:pt>
                <c:pt idx="64">
                  <c:v>4.3452203404621201</c:v>
                </c:pt>
                <c:pt idx="65">
                  <c:v>4.7528020083974676</c:v>
                </c:pt>
                <c:pt idx="66">
                  <c:v>4.3649733645122346</c:v>
                </c:pt>
                <c:pt idx="67">
                  <c:v>4.5784205620368823</c:v>
                </c:pt>
                <c:pt idx="68">
                  <c:v>4.1127951908777316</c:v>
                </c:pt>
                <c:pt idx="69">
                  <c:v>4.3533937095440791</c:v>
                </c:pt>
                <c:pt idx="70">
                  <c:v>3.9807432080071057</c:v>
                </c:pt>
                <c:pt idx="71">
                  <c:v>3.491907942063833</c:v>
                </c:pt>
                <c:pt idx="72">
                  <c:v>3.8410987362702165</c:v>
                </c:pt>
                <c:pt idx="73">
                  <c:v>2.9799243995984339</c:v>
                </c:pt>
                <c:pt idx="74">
                  <c:v>2.6539206702823654</c:v>
                </c:pt>
                <c:pt idx="75">
                  <c:v>2.4211718274986018</c:v>
                </c:pt>
                <c:pt idx="76">
                  <c:v>2.1836548712209889</c:v>
                </c:pt>
                <c:pt idx="77">
                  <c:v>2.7704029351180686</c:v>
                </c:pt>
                <c:pt idx="78">
                  <c:v>2.4678749346031754</c:v>
                </c:pt>
                <c:pt idx="79">
                  <c:v>2.4678749346031754</c:v>
                </c:pt>
                <c:pt idx="80">
                  <c:v>2.4446769102179058</c:v>
                </c:pt>
                <c:pt idx="81">
                  <c:v>2.4214524795708359</c:v>
                </c:pt>
                <c:pt idx="82">
                  <c:v>2.1279724390468506</c:v>
                </c:pt>
                <c:pt idx="83">
                  <c:v>2.0830722205829622</c:v>
                </c:pt>
                <c:pt idx="84">
                  <c:v>2.1311911888784283</c:v>
                </c:pt>
                <c:pt idx="85">
                  <c:v>1.4404721245629297</c:v>
                </c:pt>
                <c:pt idx="86">
                  <c:v>1.5208504691135414</c:v>
                </c:pt>
                <c:pt idx="87">
                  <c:v>2.1151988324431135</c:v>
                </c:pt>
                <c:pt idx="88">
                  <c:v>2.7309332125673036</c:v>
                </c:pt>
                <c:pt idx="89">
                  <c:v>2.4952536763227453</c:v>
                </c:pt>
                <c:pt idx="90">
                  <c:v>2.3934473263287774</c:v>
                </c:pt>
                <c:pt idx="91">
                  <c:v>2.8111038847731495</c:v>
                </c:pt>
                <c:pt idx="92">
                  <c:v>2.8378093716784947</c:v>
                </c:pt>
                <c:pt idx="93">
                  <c:v>2.4254756699736095</c:v>
                </c:pt>
                <c:pt idx="94">
                  <c:v>2.1470310630606391</c:v>
                </c:pt>
                <c:pt idx="95">
                  <c:v>1.7294335212953447</c:v>
                </c:pt>
                <c:pt idx="96">
                  <c:v>1.7302982380559921</c:v>
                </c:pt>
                <c:pt idx="97">
                  <c:v>1.4593335339764237</c:v>
                </c:pt>
                <c:pt idx="98">
                  <c:v>1.5517093466771312</c:v>
                </c:pt>
                <c:pt idx="99">
                  <c:v>1.5824331917413386</c:v>
                </c:pt>
                <c:pt idx="100">
                  <c:v>1.2991776504196388</c:v>
                </c:pt>
                <c:pt idx="101">
                  <c:v>1.3238620257776119</c:v>
                </c:pt>
                <c:pt idx="102">
                  <c:v>1.2130547742200257</c:v>
                </c:pt>
                <c:pt idx="103">
                  <c:v>1.1884297623033593</c:v>
                </c:pt>
                <c:pt idx="104">
                  <c:v>1.2315697626749713</c:v>
                </c:pt>
                <c:pt idx="105">
                  <c:v>1.3424110413157189</c:v>
                </c:pt>
                <c:pt idx="106">
                  <c:v>1.3731522541618488</c:v>
                </c:pt>
                <c:pt idx="107">
                  <c:v>1.5691010808307446</c:v>
                </c:pt>
                <c:pt idx="108">
                  <c:v>1.793325625281458</c:v>
                </c:pt>
                <c:pt idx="109">
                  <c:v>1.793325625281458</c:v>
                </c:pt>
                <c:pt idx="110">
                  <c:v>1.9918467720001154</c:v>
                </c:pt>
                <c:pt idx="111">
                  <c:v>1.9213353962713113</c:v>
                </c:pt>
                <c:pt idx="112">
                  <c:v>1.8636953343831719</c:v>
                </c:pt>
                <c:pt idx="113">
                  <c:v>2.0237867636066866</c:v>
                </c:pt>
                <c:pt idx="114">
                  <c:v>1.9468828665896325</c:v>
                </c:pt>
                <c:pt idx="115">
                  <c:v>1.8956798471983252</c:v>
                </c:pt>
                <c:pt idx="116">
                  <c:v>1.9085704701592736</c:v>
                </c:pt>
                <c:pt idx="117">
                  <c:v>1.7805053916115865</c:v>
                </c:pt>
                <c:pt idx="118">
                  <c:v>1.6012084986762998</c:v>
                </c:pt>
                <c:pt idx="119">
                  <c:v>1.5009728466591634</c:v>
                </c:pt>
                <c:pt idx="120">
                  <c:v>1.5977855952686795</c:v>
                </c:pt>
                <c:pt idx="121">
                  <c:v>1.4178749372414261</c:v>
                </c:pt>
                <c:pt idx="122">
                  <c:v>1.3971739631577014</c:v>
                </c:pt>
                <c:pt idx="123">
                  <c:v>1.3971739631577014</c:v>
                </c:pt>
                <c:pt idx="124">
                  <c:v>1.4179918552087509</c:v>
                </c:pt>
                <c:pt idx="125">
                  <c:v>1.4040955350277051</c:v>
                </c:pt>
                <c:pt idx="126">
                  <c:v>1.4386362851893866</c:v>
                </c:pt>
                <c:pt idx="127">
                  <c:v>1.317646973604959</c:v>
                </c:pt>
                <c:pt idx="128">
                  <c:v>1.2727152118050298</c:v>
                </c:pt>
                <c:pt idx="129">
                  <c:v>1.4664224670417554</c:v>
                </c:pt>
                <c:pt idx="130">
                  <c:v>1.5909217344936004</c:v>
                </c:pt>
                <c:pt idx="131">
                  <c:v>1.559739668497526</c:v>
                </c:pt>
                <c:pt idx="132">
                  <c:v>1.5017173528294181</c:v>
                </c:pt>
                <c:pt idx="133">
                  <c:v>1.6319162473197286</c:v>
                </c:pt>
                <c:pt idx="134">
                  <c:v>1.3637924078850971</c:v>
                </c:pt>
                <c:pt idx="135">
                  <c:v>1.4328003037240831</c:v>
                </c:pt>
                <c:pt idx="136">
                  <c:v>1.4252064621143454</c:v>
                </c:pt>
                <c:pt idx="137">
                  <c:v>1.3907164657311784</c:v>
                </c:pt>
                <c:pt idx="138">
                  <c:v>1.4673449429929661</c:v>
                </c:pt>
                <c:pt idx="139">
                  <c:v>1.5707927614739703</c:v>
                </c:pt>
                <c:pt idx="140">
                  <c:v>1.7010114814001625</c:v>
                </c:pt>
                <c:pt idx="141">
                  <c:v>1.5477503469260079</c:v>
                </c:pt>
                <c:pt idx="142">
                  <c:v>1.4864594331877381</c:v>
                </c:pt>
                <c:pt idx="143">
                  <c:v>1.3791370621115833</c:v>
                </c:pt>
                <c:pt idx="144">
                  <c:v>1.4252002399861103</c:v>
                </c:pt>
                <c:pt idx="145">
                  <c:v>1.4688113673296852</c:v>
                </c:pt>
                <c:pt idx="146">
                  <c:v>1.4688113673296852</c:v>
                </c:pt>
                <c:pt idx="147">
                  <c:v>1.6747387210293072</c:v>
                </c:pt>
                <c:pt idx="148">
                  <c:v>1.6033948515134588</c:v>
                </c:pt>
                <c:pt idx="149">
                  <c:v>1.6351420695734253</c:v>
                </c:pt>
                <c:pt idx="150">
                  <c:v>1.5994959724567246</c:v>
                </c:pt>
                <c:pt idx="151">
                  <c:v>1.5123234419578331</c:v>
                </c:pt>
                <c:pt idx="152">
                  <c:v>1.5123234419578331</c:v>
                </c:pt>
                <c:pt idx="153">
                  <c:v>1.5201875238560139</c:v>
                </c:pt>
                <c:pt idx="154">
                  <c:v>1.5717218809147329</c:v>
                </c:pt>
                <c:pt idx="155">
                  <c:v>1.4978509525117403</c:v>
                </c:pt>
                <c:pt idx="156">
                  <c:v>1.5141775278941181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2A-498C-9386-D72E300A92DB}"/>
            </c:ext>
          </c:extLst>
        </c:ser>
        <c:ser>
          <c:idx val="3"/>
          <c:order val="3"/>
          <c:tx>
            <c:strRef>
              <c:f>標準差與幾何平均值!$M$1</c:f>
              <c:strCache>
                <c:ptCount val="1"/>
                <c:pt idx="0">
                  <c:v>2330台積電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標準差與幾何平均值!$A$1:$A$158</c:f>
              <c:strCache>
                <c:ptCount val="158"/>
                <c:pt idx="0">
                  <c:v>年月</c:v>
                </c:pt>
                <c:pt idx="1">
                  <c:v>Aug-83</c:v>
                </c:pt>
                <c:pt idx="2">
                  <c:v>Sep-83</c:v>
                </c:pt>
                <c:pt idx="3">
                  <c:v>Oct-83</c:v>
                </c:pt>
                <c:pt idx="4">
                  <c:v>Nov-83</c:v>
                </c:pt>
                <c:pt idx="5">
                  <c:v>Dec-83</c:v>
                </c:pt>
                <c:pt idx="6">
                  <c:v>Jan-84</c:v>
                </c:pt>
                <c:pt idx="7">
                  <c:v>Feb-84</c:v>
                </c:pt>
                <c:pt idx="8">
                  <c:v>Mar-84</c:v>
                </c:pt>
                <c:pt idx="9">
                  <c:v>Apr-84</c:v>
                </c:pt>
                <c:pt idx="10">
                  <c:v>May-84</c:v>
                </c:pt>
                <c:pt idx="11">
                  <c:v>Jun-84</c:v>
                </c:pt>
                <c:pt idx="12">
                  <c:v>Jul-84</c:v>
                </c:pt>
                <c:pt idx="13">
                  <c:v>Aug-84</c:v>
                </c:pt>
                <c:pt idx="14">
                  <c:v>Sep-84</c:v>
                </c:pt>
                <c:pt idx="15">
                  <c:v>Oct-84</c:v>
                </c:pt>
                <c:pt idx="16">
                  <c:v>Nov-84</c:v>
                </c:pt>
                <c:pt idx="17">
                  <c:v>Dec-84</c:v>
                </c:pt>
                <c:pt idx="18">
                  <c:v>Jan-85</c:v>
                </c:pt>
                <c:pt idx="19">
                  <c:v>Feb-85</c:v>
                </c:pt>
                <c:pt idx="20">
                  <c:v>Mar-85</c:v>
                </c:pt>
                <c:pt idx="21">
                  <c:v>Apr-85</c:v>
                </c:pt>
                <c:pt idx="22">
                  <c:v>May-85</c:v>
                </c:pt>
                <c:pt idx="23">
                  <c:v>Jun-85</c:v>
                </c:pt>
                <c:pt idx="24">
                  <c:v>Jul-85</c:v>
                </c:pt>
                <c:pt idx="25">
                  <c:v>Aug-85</c:v>
                </c:pt>
                <c:pt idx="26">
                  <c:v>Sep-85</c:v>
                </c:pt>
                <c:pt idx="27">
                  <c:v>Oct-85</c:v>
                </c:pt>
                <c:pt idx="28">
                  <c:v>Nov-85</c:v>
                </c:pt>
                <c:pt idx="29">
                  <c:v>Dec-85</c:v>
                </c:pt>
                <c:pt idx="30">
                  <c:v>Jan-86</c:v>
                </c:pt>
                <c:pt idx="31">
                  <c:v>Feb-86</c:v>
                </c:pt>
                <c:pt idx="32">
                  <c:v>Mar-86</c:v>
                </c:pt>
                <c:pt idx="33">
                  <c:v>Apr-86</c:v>
                </c:pt>
                <c:pt idx="34">
                  <c:v>May-86</c:v>
                </c:pt>
                <c:pt idx="35">
                  <c:v>Jun-86</c:v>
                </c:pt>
                <c:pt idx="36">
                  <c:v>Jul-86</c:v>
                </c:pt>
                <c:pt idx="37">
                  <c:v>Aug-86</c:v>
                </c:pt>
                <c:pt idx="38">
                  <c:v>Sep-86</c:v>
                </c:pt>
                <c:pt idx="39">
                  <c:v>Oct-86</c:v>
                </c:pt>
                <c:pt idx="40">
                  <c:v>Nov-86</c:v>
                </c:pt>
                <c:pt idx="41">
                  <c:v>Dec-86</c:v>
                </c:pt>
                <c:pt idx="42">
                  <c:v>Jan-87</c:v>
                </c:pt>
                <c:pt idx="43">
                  <c:v>Feb-87</c:v>
                </c:pt>
                <c:pt idx="44">
                  <c:v>Mar-87</c:v>
                </c:pt>
                <c:pt idx="45">
                  <c:v>Apr-87</c:v>
                </c:pt>
                <c:pt idx="46">
                  <c:v>May-87</c:v>
                </c:pt>
                <c:pt idx="47">
                  <c:v>Jun-87</c:v>
                </c:pt>
                <c:pt idx="48">
                  <c:v>Jul-87</c:v>
                </c:pt>
                <c:pt idx="49">
                  <c:v>Aug-87</c:v>
                </c:pt>
                <c:pt idx="50">
                  <c:v>Sep-87</c:v>
                </c:pt>
                <c:pt idx="51">
                  <c:v>Oct-87</c:v>
                </c:pt>
                <c:pt idx="52">
                  <c:v>Nov-87</c:v>
                </c:pt>
                <c:pt idx="53">
                  <c:v>Dec-87</c:v>
                </c:pt>
                <c:pt idx="54">
                  <c:v>Jan-88</c:v>
                </c:pt>
                <c:pt idx="55">
                  <c:v>Feb-88</c:v>
                </c:pt>
                <c:pt idx="56">
                  <c:v>Mar-88</c:v>
                </c:pt>
                <c:pt idx="57">
                  <c:v>Apr-88</c:v>
                </c:pt>
                <c:pt idx="58">
                  <c:v>May-88</c:v>
                </c:pt>
                <c:pt idx="59">
                  <c:v>Jun-88</c:v>
                </c:pt>
                <c:pt idx="60">
                  <c:v>Jul-88</c:v>
                </c:pt>
                <c:pt idx="61">
                  <c:v>Aug-88</c:v>
                </c:pt>
                <c:pt idx="62">
                  <c:v>Sep-88</c:v>
                </c:pt>
                <c:pt idx="63">
                  <c:v>Oct-88</c:v>
                </c:pt>
                <c:pt idx="64">
                  <c:v>Nov-88</c:v>
                </c:pt>
                <c:pt idx="65">
                  <c:v>Dec-88</c:v>
                </c:pt>
                <c:pt idx="66">
                  <c:v>Jan-89</c:v>
                </c:pt>
                <c:pt idx="67">
                  <c:v>Feb-89</c:v>
                </c:pt>
                <c:pt idx="68">
                  <c:v>Mar-89</c:v>
                </c:pt>
                <c:pt idx="69">
                  <c:v>Apr-89</c:v>
                </c:pt>
                <c:pt idx="70">
                  <c:v>May-89</c:v>
                </c:pt>
                <c:pt idx="71">
                  <c:v>Jun-89</c:v>
                </c:pt>
                <c:pt idx="72">
                  <c:v>Jul-89</c:v>
                </c:pt>
                <c:pt idx="73">
                  <c:v>Aug-89</c:v>
                </c:pt>
                <c:pt idx="74">
                  <c:v>Sep-89</c:v>
                </c:pt>
                <c:pt idx="75">
                  <c:v>Oct-89</c:v>
                </c:pt>
                <c:pt idx="76">
                  <c:v>Nov-89</c:v>
                </c:pt>
                <c:pt idx="77">
                  <c:v>Dec-89</c:v>
                </c:pt>
                <c:pt idx="78">
                  <c:v>Jan-90</c:v>
                </c:pt>
                <c:pt idx="79">
                  <c:v>Feb-90</c:v>
                </c:pt>
                <c:pt idx="80">
                  <c:v>Mar-90</c:v>
                </c:pt>
                <c:pt idx="81">
                  <c:v>Apr-90</c:v>
                </c:pt>
                <c:pt idx="82">
                  <c:v>May-90</c:v>
                </c:pt>
                <c:pt idx="83">
                  <c:v>Jun-90</c:v>
                </c:pt>
                <c:pt idx="84">
                  <c:v>Jul-90</c:v>
                </c:pt>
                <c:pt idx="85">
                  <c:v>Aug-90</c:v>
                </c:pt>
                <c:pt idx="86">
                  <c:v>Sep-90</c:v>
                </c:pt>
                <c:pt idx="87">
                  <c:v>Oct-90</c:v>
                </c:pt>
                <c:pt idx="88">
                  <c:v>Nov-90</c:v>
                </c:pt>
                <c:pt idx="89">
                  <c:v>Dec-90</c:v>
                </c:pt>
                <c:pt idx="90">
                  <c:v>Jan-91</c:v>
                </c:pt>
                <c:pt idx="91">
                  <c:v>Feb-91</c:v>
                </c:pt>
                <c:pt idx="92">
                  <c:v>Mar-91</c:v>
                </c:pt>
                <c:pt idx="93">
                  <c:v>Apr-91</c:v>
                </c:pt>
                <c:pt idx="94">
                  <c:v>May-91</c:v>
                </c:pt>
                <c:pt idx="95">
                  <c:v>Jun-91</c:v>
                </c:pt>
                <c:pt idx="96">
                  <c:v>Jul-91</c:v>
                </c:pt>
                <c:pt idx="97">
                  <c:v>Aug-91</c:v>
                </c:pt>
                <c:pt idx="98">
                  <c:v>Sep-91</c:v>
                </c:pt>
                <c:pt idx="99">
                  <c:v>Oct-91</c:v>
                </c:pt>
                <c:pt idx="100">
                  <c:v>Nov-91</c:v>
                </c:pt>
                <c:pt idx="101">
                  <c:v>Dec-91</c:v>
                </c:pt>
                <c:pt idx="102">
                  <c:v>Jan-92</c:v>
                </c:pt>
                <c:pt idx="103">
                  <c:v>Feb-92</c:v>
                </c:pt>
                <c:pt idx="104">
                  <c:v>Mar-92</c:v>
                </c:pt>
                <c:pt idx="105">
                  <c:v>Apr-92</c:v>
                </c:pt>
                <c:pt idx="106">
                  <c:v>May-92</c:v>
                </c:pt>
                <c:pt idx="107">
                  <c:v>Jun-92</c:v>
                </c:pt>
                <c:pt idx="108">
                  <c:v>Jul-92</c:v>
                </c:pt>
                <c:pt idx="109">
                  <c:v>Aug-92</c:v>
                </c:pt>
                <c:pt idx="110">
                  <c:v>Sep-92</c:v>
                </c:pt>
                <c:pt idx="111">
                  <c:v>Oct-92</c:v>
                </c:pt>
                <c:pt idx="112">
                  <c:v>Nov-92</c:v>
                </c:pt>
                <c:pt idx="113">
                  <c:v>Dec-92</c:v>
                </c:pt>
                <c:pt idx="114">
                  <c:v>Jan-93</c:v>
                </c:pt>
                <c:pt idx="115">
                  <c:v>Feb-93</c:v>
                </c:pt>
                <c:pt idx="116">
                  <c:v>Mar-93</c:v>
                </c:pt>
                <c:pt idx="117">
                  <c:v>Apr-93</c:v>
                </c:pt>
                <c:pt idx="118">
                  <c:v>May-93</c:v>
                </c:pt>
                <c:pt idx="119">
                  <c:v>Jun-93</c:v>
                </c:pt>
                <c:pt idx="120">
                  <c:v>Jul-93</c:v>
                </c:pt>
                <c:pt idx="121">
                  <c:v>Aug-93</c:v>
                </c:pt>
                <c:pt idx="122">
                  <c:v>Sep-93</c:v>
                </c:pt>
                <c:pt idx="123">
                  <c:v>Oct-93</c:v>
                </c:pt>
                <c:pt idx="124">
                  <c:v>Nov-93</c:v>
                </c:pt>
                <c:pt idx="125">
                  <c:v>Dec-93</c:v>
                </c:pt>
                <c:pt idx="126">
                  <c:v>Jan-94</c:v>
                </c:pt>
                <c:pt idx="127">
                  <c:v>Feb-94</c:v>
                </c:pt>
                <c:pt idx="128">
                  <c:v>Mar-94</c:v>
                </c:pt>
                <c:pt idx="129">
                  <c:v>Apr-94</c:v>
                </c:pt>
                <c:pt idx="130">
                  <c:v>May-94</c:v>
                </c:pt>
                <c:pt idx="131">
                  <c:v>Jun-94</c:v>
                </c:pt>
                <c:pt idx="132">
                  <c:v>Jul-94</c:v>
                </c:pt>
                <c:pt idx="133">
                  <c:v>Aug-94</c:v>
                </c:pt>
                <c:pt idx="134">
                  <c:v>Sep-94</c:v>
                </c:pt>
                <c:pt idx="135">
                  <c:v>Oct-94</c:v>
                </c:pt>
                <c:pt idx="136">
                  <c:v>Nov-94</c:v>
                </c:pt>
                <c:pt idx="137">
                  <c:v>Dec-94</c:v>
                </c:pt>
                <c:pt idx="138">
                  <c:v>Jan-95</c:v>
                </c:pt>
                <c:pt idx="139">
                  <c:v>Feb-95</c:v>
                </c:pt>
                <c:pt idx="140">
                  <c:v>Mar-95</c:v>
                </c:pt>
                <c:pt idx="141">
                  <c:v>Apr-95</c:v>
                </c:pt>
                <c:pt idx="142">
                  <c:v>May-95</c:v>
                </c:pt>
                <c:pt idx="143">
                  <c:v>Jun-95</c:v>
                </c:pt>
                <c:pt idx="144">
                  <c:v>Jul-95</c:v>
                </c:pt>
                <c:pt idx="145">
                  <c:v>Aug-95</c:v>
                </c:pt>
                <c:pt idx="146">
                  <c:v>Sep-95</c:v>
                </c:pt>
                <c:pt idx="147">
                  <c:v>Oct-95</c:v>
                </c:pt>
                <c:pt idx="148">
                  <c:v>Nov-95</c:v>
                </c:pt>
                <c:pt idx="149">
                  <c:v>Dec-95</c:v>
                </c:pt>
                <c:pt idx="150">
                  <c:v>Jan-96</c:v>
                </c:pt>
                <c:pt idx="151">
                  <c:v>Feb-96</c:v>
                </c:pt>
                <c:pt idx="152">
                  <c:v>Mar-96</c:v>
                </c:pt>
                <c:pt idx="153">
                  <c:v>Apr-96</c:v>
                </c:pt>
                <c:pt idx="154">
                  <c:v>May-96</c:v>
                </c:pt>
                <c:pt idx="155">
                  <c:v>Jun-96</c:v>
                </c:pt>
                <c:pt idx="156">
                  <c:v>Jul-96</c:v>
                </c:pt>
                <c:pt idx="157">
                  <c:v>Aug-96</c:v>
                </c:pt>
              </c:strCache>
            </c:strRef>
          </c:cat>
          <c:val>
            <c:numRef>
              <c:f>標準差與幾何平均值!$M$2:$M$158</c:f>
              <c:numCache>
                <c:formatCode>General</c:formatCode>
                <c:ptCount val="157"/>
                <c:pt idx="0">
                  <c:v>1</c:v>
                </c:pt>
                <c:pt idx="1">
                  <c:v>1.9</c:v>
                </c:pt>
                <c:pt idx="2">
                  <c:v>1.80006</c:v>
                </c:pt>
                <c:pt idx="3">
                  <c:v>1.76675889</c:v>
                </c:pt>
                <c:pt idx="4">
                  <c:v>1.7444977279860001</c:v>
                </c:pt>
                <c:pt idx="5">
                  <c:v>1.5667334095042267</c:v>
                </c:pt>
                <c:pt idx="6">
                  <c:v>1.7223100370679962</c:v>
                </c:pt>
                <c:pt idx="7">
                  <c:v>2.0889898439597725</c:v>
                </c:pt>
                <c:pt idx="8">
                  <c:v>1.9333601005847694</c:v>
                </c:pt>
                <c:pt idx="9">
                  <c:v>2.0777821000984518</c:v>
                </c:pt>
                <c:pt idx="10">
                  <c:v>2.5099607769189296</c:v>
                </c:pt>
                <c:pt idx="11">
                  <c:v>2.0599248096173657</c:v>
                </c:pt>
                <c:pt idx="12">
                  <c:v>2.1099809824910678</c:v>
                </c:pt>
                <c:pt idx="13">
                  <c:v>1.959961334635953</c:v>
                </c:pt>
                <c:pt idx="14">
                  <c:v>1.6798828599164752</c:v>
                </c:pt>
                <c:pt idx="15">
                  <c:v>1.6598922538834691</c:v>
                </c:pt>
                <c:pt idx="16">
                  <c:v>1.6998956572020607</c:v>
                </c:pt>
                <c:pt idx="17">
                  <c:v>1.5299060914818547</c:v>
                </c:pt>
                <c:pt idx="18">
                  <c:v>1.5499478612802673</c:v>
                </c:pt>
                <c:pt idx="19">
                  <c:v>1.4998845453609146</c:v>
                </c:pt>
                <c:pt idx="20">
                  <c:v>2.059791446144144</c:v>
                </c:pt>
                <c:pt idx="21">
                  <c:v>2.0338380739227278</c:v>
                </c:pt>
                <c:pt idx="22">
                  <c:v>2.0877347828816801</c:v>
                </c:pt>
                <c:pt idx="23">
                  <c:v>1.817790675455079</c:v>
                </c:pt>
                <c:pt idx="24">
                  <c:v>1.9797558246381264</c:v>
                </c:pt>
                <c:pt idx="25">
                  <c:v>1.9257084906255055</c:v>
                </c:pt>
                <c:pt idx="26">
                  <c:v>1.9077994016626885</c:v>
                </c:pt>
                <c:pt idx="27">
                  <c:v>2.1058289795552758</c:v>
                </c:pt>
                <c:pt idx="28">
                  <c:v>2.0338096284544855</c:v>
                </c:pt>
                <c:pt idx="29">
                  <c:v>2.0338096284544855</c:v>
                </c:pt>
                <c:pt idx="30">
                  <c:v>2.249800210996352</c:v>
                </c:pt>
                <c:pt idx="31">
                  <c:v>2.5377746380038855</c:v>
                </c:pt>
                <c:pt idx="32">
                  <c:v>3.3836149248505802</c:v>
                </c:pt>
                <c:pt idx="33">
                  <c:v>4.2836564948608347</c:v>
                </c:pt>
                <c:pt idx="34">
                  <c:v>6.6683680655498616</c:v>
                </c:pt>
                <c:pt idx="35">
                  <c:v>8.3694687590716317</c:v>
                </c:pt>
                <c:pt idx="36">
                  <c:v>8.6933672000477031</c:v>
                </c:pt>
                <c:pt idx="37">
                  <c:v>7.3971861505205903</c:v>
                </c:pt>
                <c:pt idx="38">
                  <c:v>5.2645773833255038</c:v>
                </c:pt>
                <c:pt idx="39">
                  <c:v>6.4796418433970295</c:v>
                </c:pt>
                <c:pt idx="40">
                  <c:v>6.0474497324424474</c:v>
                </c:pt>
                <c:pt idx="41">
                  <c:v>6.3443795143053707</c:v>
                </c:pt>
                <c:pt idx="42">
                  <c:v>9.0172666036822235</c:v>
                </c:pt>
                <c:pt idx="43">
                  <c:v>8.7476503322321246</c:v>
                </c:pt>
                <c:pt idx="44">
                  <c:v>7.6944332322313773</c:v>
                </c:pt>
                <c:pt idx="45">
                  <c:v>6.5602737738004722</c:v>
                </c:pt>
                <c:pt idx="46">
                  <c:v>5.5585199685411393</c:v>
                </c:pt>
                <c:pt idx="47">
                  <c:v>6.1065900374392958</c:v>
                </c:pt>
                <c:pt idx="48">
                  <c:v>4.815046244520885</c:v>
                </c:pt>
                <c:pt idx="49">
                  <c:v>5.1675076296198137</c:v>
                </c:pt>
                <c:pt idx="50">
                  <c:v>5.2848100528121833</c:v>
                </c:pt>
                <c:pt idx="51">
                  <c:v>6.1462340914205695</c:v>
                </c:pt>
                <c:pt idx="52">
                  <c:v>5.5592687356899049</c:v>
                </c:pt>
                <c:pt idx="53">
                  <c:v>6.5771708411947269</c:v>
                </c:pt>
                <c:pt idx="54">
                  <c:v>6.9297071982827649</c:v>
                </c:pt>
                <c:pt idx="55">
                  <c:v>8.1430989287020772</c:v>
                </c:pt>
                <c:pt idx="56">
                  <c:v>8.6520426117459568</c:v>
                </c:pt>
                <c:pt idx="57">
                  <c:v>9.1607827173166179</c:v>
                </c:pt>
                <c:pt idx="58">
                  <c:v>11.893444201892166</c:v>
                </c:pt>
                <c:pt idx="59">
                  <c:v>10.689827648660678</c:v>
                </c:pt>
                <c:pt idx="60">
                  <c:v>13.000968386301116</c:v>
                </c:pt>
                <c:pt idx="61">
                  <c:v>12.856657637213173</c:v>
                </c:pt>
                <c:pt idx="62">
                  <c:v>13.963615859777228</c:v>
                </c:pt>
                <c:pt idx="63">
                  <c:v>14.300139001997859</c:v>
                </c:pt>
                <c:pt idx="64">
                  <c:v>16.081936321646793</c:v>
                </c:pt>
                <c:pt idx="65">
                  <c:v>19.549201792593841</c:v>
                </c:pt>
                <c:pt idx="66">
                  <c:v>19.35566469484716</c:v>
                </c:pt>
                <c:pt idx="67">
                  <c:v>19.740842422274618</c:v>
                </c:pt>
                <c:pt idx="68">
                  <c:v>18.777489312067619</c:v>
                </c:pt>
                <c:pt idx="69">
                  <c:v>19.352080485016888</c:v>
                </c:pt>
                <c:pt idx="70">
                  <c:v>17.995499643017205</c:v>
                </c:pt>
                <c:pt idx="71">
                  <c:v>15.654285139460667</c:v>
                </c:pt>
                <c:pt idx="72">
                  <c:v>16.57945339120279</c:v>
                </c:pt>
                <c:pt idx="73">
                  <c:v>12.326823596359276</c:v>
                </c:pt>
                <c:pt idx="74">
                  <c:v>12.08028712443209</c:v>
                </c:pt>
                <c:pt idx="75">
                  <c:v>11.032926230743827</c:v>
                </c:pt>
                <c:pt idx="76">
                  <c:v>9.6769795969854115</c:v>
                </c:pt>
                <c:pt idx="77">
                  <c:v>13.005860578348392</c:v>
                </c:pt>
                <c:pt idx="78">
                  <c:v>11.095299659389012</c:v>
                </c:pt>
                <c:pt idx="79">
                  <c:v>10.910008155077215</c:v>
                </c:pt>
                <c:pt idx="80">
                  <c:v>11.2187613858659</c:v>
                </c:pt>
                <c:pt idx="81">
                  <c:v>11.033651822999113</c:v>
                </c:pt>
                <c:pt idx="82">
                  <c:v>11.045788840004413</c:v>
                </c:pt>
                <c:pt idx="83">
                  <c:v>11.390417451812549</c:v>
                </c:pt>
                <c:pt idx="84">
                  <c:v>11.04528780302263</c:v>
                </c:pt>
                <c:pt idx="85">
                  <c:v>8.0597465098656134</c:v>
                </c:pt>
                <c:pt idx="86">
                  <c:v>10.527640891186465</c:v>
                </c:pt>
                <c:pt idx="87">
                  <c:v>12.598427854482843</c:v>
                </c:pt>
                <c:pt idx="88">
                  <c:v>15.100475626383133</c:v>
                </c:pt>
                <c:pt idx="89">
                  <c:v>15.100475626383133</c:v>
                </c:pt>
                <c:pt idx="90">
                  <c:v>14.150655709483635</c:v>
                </c:pt>
                <c:pt idx="91">
                  <c:v>16.652491638920342</c:v>
                </c:pt>
                <c:pt idx="92">
                  <c:v>15.098814169009074</c:v>
                </c:pt>
                <c:pt idx="93">
                  <c:v>14.753051324538767</c:v>
                </c:pt>
                <c:pt idx="94">
                  <c:v>12.907444603838966</c:v>
                </c:pt>
                <c:pt idx="95">
                  <c:v>9.5850683628108175</c:v>
                </c:pt>
                <c:pt idx="96">
                  <c:v>9.4710060492933685</c:v>
                </c:pt>
                <c:pt idx="97">
                  <c:v>7.8003205821980179</c:v>
                </c:pt>
                <c:pt idx="98">
                  <c:v>8.8252827066988377</c:v>
                </c:pt>
                <c:pt idx="99">
                  <c:v>9.5842570194749381</c:v>
                </c:pt>
                <c:pt idx="100">
                  <c:v>8.0852792216290581</c:v>
                </c:pt>
                <c:pt idx="101">
                  <c:v>9.0530871444580558</c:v>
                </c:pt>
                <c:pt idx="102">
                  <c:v>7.9712432306953191</c:v>
                </c:pt>
                <c:pt idx="103">
                  <c:v>8.0278390576332566</c:v>
                </c:pt>
                <c:pt idx="104">
                  <c:v>9.0714581351255799</c:v>
                </c:pt>
                <c:pt idx="105">
                  <c:v>10.15368309064606</c:v>
                </c:pt>
                <c:pt idx="106">
                  <c:v>10.817733964774312</c:v>
                </c:pt>
                <c:pt idx="107">
                  <c:v>12.093144799221204</c:v>
                </c:pt>
                <c:pt idx="108">
                  <c:v>13.732975233995598</c:v>
                </c:pt>
                <c:pt idx="109">
                  <c:v>13.629977919740631</c:v>
                </c:pt>
                <c:pt idx="110">
                  <c:v>13.732202754138687</c:v>
                </c:pt>
                <c:pt idx="111">
                  <c:v>13.015381770372647</c:v>
                </c:pt>
                <c:pt idx="112">
                  <c:v>13.015381770372647</c:v>
                </c:pt>
                <c:pt idx="113">
                  <c:v>13.528187812125331</c:v>
                </c:pt>
                <c:pt idx="114">
                  <c:v>13.015469494045782</c:v>
                </c:pt>
                <c:pt idx="115">
                  <c:v>12.298317124923859</c:v>
                </c:pt>
                <c:pt idx="116">
                  <c:v>11.785477300814534</c:v>
                </c:pt>
                <c:pt idx="117">
                  <c:v>11.477876343263276</c:v>
                </c:pt>
                <c:pt idx="118">
                  <c:v>11.456068378211075</c:v>
                </c:pt>
                <c:pt idx="119">
                  <c:v>10.154659010446297</c:v>
                </c:pt>
                <c:pt idx="120">
                  <c:v>11.125444411844962</c:v>
                </c:pt>
                <c:pt idx="121">
                  <c:v>10.249871936632763</c:v>
                </c:pt>
                <c:pt idx="122">
                  <c:v>10.36774546390404</c:v>
                </c:pt>
                <c:pt idx="123">
                  <c:v>11.196128326469973</c:v>
                </c:pt>
                <c:pt idx="124">
                  <c:v>11.954106214171992</c:v>
                </c:pt>
                <c:pt idx="125">
                  <c:v>12.3091431687329</c:v>
                </c:pt>
                <c:pt idx="126">
                  <c:v>13.019380729568789</c:v>
                </c:pt>
                <c:pt idx="127">
                  <c:v>12.191348115168214</c:v>
                </c:pt>
                <c:pt idx="128">
                  <c:v>12.286440630466526</c:v>
                </c:pt>
                <c:pt idx="129">
                  <c:v>13.469624863180453</c:v>
                </c:pt>
                <c:pt idx="130">
                  <c:v>14.174086243524791</c:v>
                </c:pt>
                <c:pt idx="131">
                  <c:v>13.685080268123185</c:v>
                </c:pt>
                <c:pt idx="132">
                  <c:v>13.890356472145031</c:v>
                </c:pt>
                <c:pt idx="133">
                  <c:v>13.709781838007146</c:v>
                </c:pt>
                <c:pt idx="134">
                  <c:v>13.375263161159772</c:v>
                </c:pt>
                <c:pt idx="135">
                  <c:v>15.303976108999013</c:v>
                </c:pt>
                <c:pt idx="136">
                  <c:v>16.075296504892563</c:v>
                </c:pt>
                <c:pt idx="137">
                  <c:v>16.332501248970843</c:v>
                </c:pt>
                <c:pt idx="138">
                  <c:v>15.664501947887935</c:v>
                </c:pt>
                <c:pt idx="139">
                  <c:v>16.51351795346346</c:v>
                </c:pt>
                <c:pt idx="140">
                  <c:v>17.515888493238691</c:v>
                </c:pt>
                <c:pt idx="141">
                  <c:v>15.510319260762861</c:v>
                </c:pt>
                <c:pt idx="142">
                  <c:v>16.15865060586275</c:v>
                </c:pt>
                <c:pt idx="143">
                  <c:v>15.163277728541605</c:v>
                </c:pt>
                <c:pt idx="144">
                  <c:v>16.076107047799809</c:v>
                </c:pt>
                <c:pt idx="145">
                  <c:v>16.518199991614306</c:v>
                </c:pt>
                <c:pt idx="146">
                  <c:v>16.878296751431499</c:v>
                </c:pt>
                <c:pt idx="147">
                  <c:v>18.123915051687145</c:v>
                </c:pt>
                <c:pt idx="148">
                  <c:v>18.676694460763603</c:v>
                </c:pt>
                <c:pt idx="149">
                  <c:v>18.648679419072458</c:v>
                </c:pt>
                <c:pt idx="150">
                  <c:v>19.174572178690301</c:v>
                </c:pt>
                <c:pt idx="151">
                  <c:v>18.787245820680756</c:v>
                </c:pt>
                <c:pt idx="152">
                  <c:v>19.008935321364788</c:v>
                </c:pt>
                <c:pt idx="153">
                  <c:v>18.870170093518826</c:v>
                </c:pt>
                <c:pt idx="154">
                  <c:v>20.615660827169318</c:v>
                </c:pt>
                <c:pt idx="155">
                  <c:v>18.900437846348833</c:v>
                </c:pt>
                <c:pt idx="156">
                  <c:v>18.231362346588085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2A-498C-9386-D72E300A92DB}"/>
            </c:ext>
          </c:extLst>
        </c:ser>
        <c:ser>
          <c:idx val="4"/>
          <c:order val="4"/>
          <c:tx>
            <c:strRef>
              <c:f>標準差與幾何平均值!$N$1</c:f>
              <c:strCache>
                <c:ptCount val="1"/>
                <c:pt idx="0">
                  <c:v>2317鴻海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標準差與幾何平均值!$A$1:$A$158</c:f>
              <c:strCache>
                <c:ptCount val="158"/>
                <c:pt idx="0">
                  <c:v>年月</c:v>
                </c:pt>
                <c:pt idx="1">
                  <c:v>Aug-83</c:v>
                </c:pt>
                <c:pt idx="2">
                  <c:v>Sep-83</c:v>
                </c:pt>
                <c:pt idx="3">
                  <c:v>Oct-83</c:v>
                </c:pt>
                <c:pt idx="4">
                  <c:v>Nov-83</c:v>
                </c:pt>
                <c:pt idx="5">
                  <c:v>Dec-83</c:v>
                </c:pt>
                <c:pt idx="6">
                  <c:v>Jan-84</c:v>
                </c:pt>
                <c:pt idx="7">
                  <c:v>Feb-84</c:v>
                </c:pt>
                <c:pt idx="8">
                  <c:v>Mar-84</c:v>
                </c:pt>
                <c:pt idx="9">
                  <c:v>Apr-84</c:v>
                </c:pt>
                <c:pt idx="10">
                  <c:v>May-84</c:v>
                </c:pt>
                <c:pt idx="11">
                  <c:v>Jun-84</c:v>
                </c:pt>
                <c:pt idx="12">
                  <c:v>Jul-84</c:v>
                </c:pt>
                <c:pt idx="13">
                  <c:v>Aug-84</c:v>
                </c:pt>
                <c:pt idx="14">
                  <c:v>Sep-84</c:v>
                </c:pt>
                <c:pt idx="15">
                  <c:v>Oct-84</c:v>
                </c:pt>
                <c:pt idx="16">
                  <c:v>Nov-84</c:v>
                </c:pt>
                <c:pt idx="17">
                  <c:v>Dec-84</c:v>
                </c:pt>
                <c:pt idx="18">
                  <c:v>Jan-85</c:v>
                </c:pt>
                <c:pt idx="19">
                  <c:v>Feb-85</c:v>
                </c:pt>
                <c:pt idx="20">
                  <c:v>Mar-85</c:v>
                </c:pt>
                <c:pt idx="21">
                  <c:v>Apr-85</c:v>
                </c:pt>
                <c:pt idx="22">
                  <c:v>May-85</c:v>
                </c:pt>
                <c:pt idx="23">
                  <c:v>Jun-85</c:v>
                </c:pt>
                <c:pt idx="24">
                  <c:v>Jul-85</c:v>
                </c:pt>
                <c:pt idx="25">
                  <c:v>Aug-85</c:v>
                </c:pt>
                <c:pt idx="26">
                  <c:v>Sep-85</c:v>
                </c:pt>
                <c:pt idx="27">
                  <c:v>Oct-85</c:v>
                </c:pt>
                <c:pt idx="28">
                  <c:v>Nov-85</c:v>
                </c:pt>
                <c:pt idx="29">
                  <c:v>Dec-85</c:v>
                </c:pt>
                <c:pt idx="30">
                  <c:v>Jan-86</c:v>
                </c:pt>
                <c:pt idx="31">
                  <c:v>Feb-86</c:v>
                </c:pt>
                <c:pt idx="32">
                  <c:v>Mar-86</c:v>
                </c:pt>
                <c:pt idx="33">
                  <c:v>Apr-86</c:v>
                </c:pt>
                <c:pt idx="34">
                  <c:v>May-86</c:v>
                </c:pt>
                <c:pt idx="35">
                  <c:v>Jun-86</c:v>
                </c:pt>
                <c:pt idx="36">
                  <c:v>Jul-86</c:v>
                </c:pt>
                <c:pt idx="37">
                  <c:v>Aug-86</c:v>
                </c:pt>
                <c:pt idx="38">
                  <c:v>Sep-86</c:v>
                </c:pt>
                <c:pt idx="39">
                  <c:v>Oct-86</c:v>
                </c:pt>
                <c:pt idx="40">
                  <c:v>Nov-86</c:v>
                </c:pt>
                <c:pt idx="41">
                  <c:v>Dec-86</c:v>
                </c:pt>
                <c:pt idx="42">
                  <c:v>Jan-87</c:v>
                </c:pt>
                <c:pt idx="43">
                  <c:v>Feb-87</c:v>
                </c:pt>
                <c:pt idx="44">
                  <c:v>Mar-87</c:v>
                </c:pt>
                <c:pt idx="45">
                  <c:v>Apr-87</c:v>
                </c:pt>
                <c:pt idx="46">
                  <c:v>May-87</c:v>
                </c:pt>
                <c:pt idx="47">
                  <c:v>Jun-87</c:v>
                </c:pt>
                <c:pt idx="48">
                  <c:v>Jul-87</c:v>
                </c:pt>
                <c:pt idx="49">
                  <c:v>Aug-87</c:v>
                </c:pt>
                <c:pt idx="50">
                  <c:v>Sep-87</c:v>
                </c:pt>
                <c:pt idx="51">
                  <c:v>Oct-87</c:v>
                </c:pt>
                <c:pt idx="52">
                  <c:v>Nov-87</c:v>
                </c:pt>
                <c:pt idx="53">
                  <c:v>Dec-87</c:v>
                </c:pt>
                <c:pt idx="54">
                  <c:v>Jan-88</c:v>
                </c:pt>
                <c:pt idx="55">
                  <c:v>Feb-88</c:v>
                </c:pt>
                <c:pt idx="56">
                  <c:v>Mar-88</c:v>
                </c:pt>
                <c:pt idx="57">
                  <c:v>Apr-88</c:v>
                </c:pt>
                <c:pt idx="58">
                  <c:v>May-88</c:v>
                </c:pt>
                <c:pt idx="59">
                  <c:v>Jun-88</c:v>
                </c:pt>
                <c:pt idx="60">
                  <c:v>Jul-88</c:v>
                </c:pt>
                <c:pt idx="61">
                  <c:v>Aug-88</c:v>
                </c:pt>
                <c:pt idx="62">
                  <c:v>Sep-88</c:v>
                </c:pt>
                <c:pt idx="63">
                  <c:v>Oct-88</c:v>
                </c:pt>
                <c:pt idx="64">
                  <c:v>Nov-88</c:v>
                </c:pt>
                <c:pt idx="65">
                  <c:v>Dec-88</c:v>
                </c:pt>
                <c:pt idx="66">
                  <c:v>Jan-89</c:v>
                </c:pt>
                <c:pt idx="67">
                  <c:v>Feb-89</c:v>
                </c:pt>
                <c:pt idx="68">
                  <c:v>Mar-89</c:v>
                </c:pt>
                <c:pt idx="69">
                  <c:v>Apr-89</c:v>
                </c:pt>
                <c:pt idx="70">
                  <c:v>May-89</c:v>
                </c:pt>
                <c:pt idx="71">
                  <c:v>Jun-89</c:v>
                </c:pt>
                <c:pt idx="72">
                  <c:v>Jul-89</c:v>
                </c:pt>
                <c:pt idx="73">
                  <c:v>Aug-89</c:v>
                </c:pt>
                <c:pt idx="74">
                  <c:v>Sep-89</c:v>
                </c:pt>
                <c:pt idx="75">
                  <c:v>Oct-89</c:v>
                </c:pt>
                <c:pt idx="76">
                  <c:v>Nov-89</c:v>
                </c:pt>
                <c:pt idx="77">
                  <c:v>Dec-89</c:v>
                </c:pt>
                <c:pt idx="78">
                  <c:v>Jan-90</c:v>
                </c:pt>
                <c:pt idx="79">
                  <c:v>Feb-90</c:v>
                </c:pt>
                <c:pt idx="80">
                  <c:v>Mar-90</c:v>
                </c:pt>
                <c:pt idx="81">
                  <c:v>Apr-90</c:v>
                </c:pt>
                <c:pt idx="82">
                  <c:v>May-90</c:v>
                </c:pt>
                <c:pt idx="83">
                  <c:v>Jun-90</c:v>
                </c:pt>
                <c:pt idx="84">
                  <c:v>Jul-90</c:v>
                </c:pt>
                <c:pt idx="85">
                  <c:v>Aug-90</c:v>
                </c:pt>
                <c:pt idx="86">
                  <c:v>Sep-90</c:v>
                </c:pt>
                <c:pt idx="87">
                  <c:v>Oct-90</c:v>
                </c:pt>
                <c:pt idx="88">
                  <c:v>Nov-90</c:v>
                </c:pt>
                <c:pt idx="89">
                  <c:v>Dec-90</c:v>
                </c:pt>
                <c:pt idx="90">
                  <c:v>Jan-91</c:v>
                </c:pt>
                <c:pt idx="91">
                  <c:v>Feb-91</c:v>
                </c:pt>
                <c:pt idx="92">
                  <c:v>Mar-91</c:v>
                </c:pt>
                <c:pt idx="93">
                  <c:v>Apr-91</c:v>
                </c:pt>
                <c:pt idx="94">
                  <c:v>May-91</c:v>
                </c:pt>
                <c:pt idx="95">
                  <c:v>Jun-91</c:v>
                </c:pt>
                <c:pt idx="96">
                  <c:v>Jul-91</c:v>
                </c:pt>
                <c:pt idx="97">
                  <c:v>Aug-91</c:v>
                </c:pt>
                <c:pt idx="98">
                  <c:v>Sep-91</c:v>
                </c:pt>
                <c:pt idx="99">
                  <c:v>Oct-91</c:v>
                </c:pt>
                <c:pt idx="100">
                  <c:v>Nov-91</c:v>
                </c:pt>
                <c:pt idx="101">
                  <c:v>Dec-91</c:v>
                </c:pt>
                <c:pt idx="102">
                  <c:v>Jan-92</c:v>
                </c:pt>
                <c:pt idx="103">
                  <c:v>Feb-92</c:v>
                </c:pt>
                <c:pt idx="104">
                  <c:v>Mar-92</c:v>
                </c:pt>
                <c:pt idx="105">
                  <c:v>Apr-92</c:v>
                </c:pt>
                <c:pt idx="106">
                  <c:v>May-92</c:v>
                </c:pt>
                <c:pt idx="107">
                  <c:v>Jun-92</c:v>
                </c:pt>
                <c:pt idx="108">
                  <c:v>Jul-92</c:v>
                </c:pt>
                <c:pt idx="109">
                  <c:v>Aug-92</c:v>
                </c:pt>
                <c:pt idx="110">
                  <c:v>Sep-92</c:v>
                </c:pt>
                <c:pt idx="111">
                  <c:v>Oct-92</c:v>
                </c:pt>
                <c:pt idx="112">
                  <c:v>Nov-92</c:v>
                </c:pt>
                <c:pt idx="113">
                  <c:v>Dec-92</c:v>
                </c:pt>
                <c:pt idx="114">
                  <c:v>Jan-93</c:v>
                </c:pt>
                <c:pt idx="115">
                  <c:v>Feb-93</c:v>
                </c:pt>
                <c:pt idx="116">
                  <c:v>Mar-93</c:v>
                </c:pt>
                <c:pt idx="117">
                  <c:v>Apr-93</c:v>
                </c:pt>
                <c:pt idx="118">
                  <c:v>May-93</c:v>
                </c:pt>
                <c:pt idx="119">
                  <c:v>Jun-93</c:v>
                </c:pt>
                <c:pt idx="120">
                  <c:v>Jul-93</c:v>
                </c:pt>
                <c:pt idx="121">
                  <c:v>Aug-93</c:v>
                </c:pt>
                <c:pt idx="122">
                  <c:v>Sep-93</c:v>
                </c:pt>
                <c:pt idx="123">
                  <c:v>Oct-93</c:v>
                </c:pt>
                <c:pt idx="124">
                  <c:v>Nov-93</c:v>
                </c:pt>
                <c:pt idx="125">
                  <c:v>Dec-93</c:v>
                </c:pt>
                <c:pt idx="126">
                  <c:v>Jan-94</c:v>
                </c:pt>
                <c:pt idx="127">
                  <c:v>Feb-94</c:v>
                </c:pt>
                <c:pt idx="128">
                  <c:v>Mar-94</c:v>
                </c:pt>
                <c:pt idx="129">
                  <c:v>Apr-94</c:v>
                </c:pt>
                <c:pt idx="130">
                  <c:v>May-94</c:v>
                </c:pt>
                <c:pt idx="131">
                  <c:v>Jun-94</c:v>
                </c:pt>
                <c:pt idx="132">
                  <c:v>Jul-94</c:v>
                </c:pt>
                <c:pt idx="133">
                  <c:v>Aug-94</c:v>
                </c:pt>
                <c:pt idx="134">
                  <c:v>Sep-94</c:v>
                </c:pt>
                <c:pt idx="135">
                  <c:v>Oct-94</c:v>
                </c:pt>
                <c:pt idx="136">
                  <c:v>Nov-94</c:v>
                </c:pt>
                <c:pt idx="137">
                  <c:v>Dec-94</c:v>
                </c:pt>
                <c:pt idx="138">
                  <c:v>Jan-95</c:v>
                </c:pt>
                <c:pt idx="139">
                  <c:v>Feb-95</c:v>
                </c:pt>
                <c:pt idx="140">
                  <c:v>Mar-95</c:v>
                </c:pt>
                <c:pt idx="141">
                  <c:v>Apr-95</c:v>
                </c:pt>
                <c:pt idx="142">
                  <c:v>May-95</c:v>
                </c:pt>
                <c:pt idx="143">
                  <c:v>Jun-95</c:v>
                </c:pt>
                <c:pt idx="144">
                  <c:v>Jul-95</c:v>
                </c:pt>
                <c:pt idx="145">
                  <c:v>Aug-95</c:v>
                </c:pt>
                <c:pt idx="146">
                  <c:v>Sep-95</c:v>
                </c:pt>
                <c:pt idx="147">
                  <c:v>Oct-95</c:v>
                </c:pt>
                <c:pt idx="148">
                  <c:v>Nov-95</c:v>
                </c:pt>
                <c:pt idx="149">
                  <c:v>Dec-95</c:v>
                </c:pt>
                <c:pt idx="150">
                  <c:v>Jan-96</c:v>
                </c:pt>
                <c:pt idx="151">
                  <c:v>Feb-96</c:v>
                </c:pt>
                <c:pt idx="152">
                  <c:v>Mar-96</c:v>
                </c:pt>
                <c:pt idx="153">
                  <c:v>Apr-96</c:v>
                </c:pt>
                <c:pt idx="154">
                  <c:v>May-96</c:v>
                </c:pt>
                <c:pt idx="155">
                  <c:v>Jun-96</c:v>
                </c:pt>
                <c:pt idx="156">
                  <c:v>Jul-96</c:v>
                </c:pt>
                <c:pt idx="157">
                  <c:v>Aug-96</c:v>
                </c:pt>
              </c:strCache>
            </c:strRef>
          </c:cat>
          <c:val>
            <c:numRef>
              <c:f>標準差與幾何平均值!$N$2:$N$158</c:f>
              <c:numCache>
                <c:formatCode>General</c:formatCode>
                <c:ptCount val="157"/>
                <c:pt idx="0">
                  <c:v>1</c:v>
                </c:pt>
                <c:pt idx="1">
                  <c:v>0.93330000000000002</c:v>
                </c:pt>
                <c:pt idx="2">
                  <c:v>0.99041795999999993</c:v>
                </c:pt>
                <c:pt idx="3">
                  <c:v>1.0333030576679998</c:v>
                </c:pt>
                <c:pt idx="4">
                  <c:v>1.0904447167570401</c:v>
                </c:pt>
                <c:pt idx="5">
                  <c:v>0.8333178525457301</c:v>
                </c:pt>
                <c:pt idx="6">
                  <c:v>0.87140047840707002</c:v>
                </c:pt>
                <c:pt idx="7">
                  <c:v>1.0856778560473686</c:v>
                </c:pt>
                <c:pt idx="8">
                  <c:v>1.0952318211805854</c:v>
                </c:pt>
                <c:pt idx="9">
                  <c:v>1.1142888548691277</c:v>
                </c:pt>
                <c:pt idx="10">
                  <c:v>1.1190802969450648</c:v>
                </c:pt>
                <c:pt idx="11">
                  <c:v>0.89526423755605189</c:v>
                </c:pt>
                <c:pt idx="12">
                  <c:v>0.93340249407593967</c:v>
                </c:pt>
                <c:pt idx="13">
                  <c:v>1.1334306485564134</c:v>
                </c:pt>
                <c:pt idx="14">
                  <c:v>1.100107787488855</c:v>
                </c:pt>
                <c:pt idx="15">
                  <c:v>0.8772259497436129</c:v>
                </c:pt>
                <c:pt idx="16">
                  <c:v>1.0399513634210531</c:v>
                </c:pt>
                <c:pt idx="17">
                  <c:v>0.87719897504565836</c:v>
                </c:pt>
                <c:pt idx="18">
                  <c:v>0.69325034997858381</c:v>
                </c:pt>
                <c:pt idx="19">
                  <c:v>0.74981957853683623</c:v>
                </c:pt>
                <c:pt idx="20">
                  <c:v>0.86296735293804483</c:v>
                </c:pt>
                <c:pt idx="21">
                  <c:v>0.8771200175262287</c:v>
                </c:pt>
                <c:pt idx="22">
                  <c:v>1.0680690453416888</c:v>
                </c:pt>
                <c:pt idx="23">
                  <c:v>1.1246767047447983</c:v>
                </c:pt>
                <c:pt idx="24">
                  <c:v>1.2943904194907885</c:v>
                </c:pt>
                <c:pt idx="25">
                  <c:v>1.4640850034860309</c:v>
                </c:pt>
                <c:pt idx="26">
                  <c:v>1.6974601530417042</c:v>
                </c:pt>
                <c:pt idx="27">
                  <c:v>1.7716391617296268</c:v>
                </c:pt>
                <c:pt idx="28">
                  <c:v>1.7291198218481156</c:v>
                </c:pt>
                <c:pt idx="29">
                  <c:v>1.7078516480393839</c:v>
                </c:pt>
                <c:pt idx="30">
                  <c:v>2.1109046369766786</c:v>
                </c:pt>
                <c:pt idx="31">
                  <c:v>2.853520888265074</c:v>
                </c:pt>
                <c:pt idx="32">
                  <c:v>3.4370659099152814</c:v>
                </c:pt>
                <c:pt idx="33">
                  <c:v>3.3947899992233235</c:v>
                </c:pt>
                <c:pt idx="34">
                  <c:v>4.3494049470049223</c:v>
                </c:pt>
                <c:pt idx="35">
                  <c:v>7.8415421789551756</c:v>
                </c:pt>
                <c:pt idx="36">
                  <c:v>7.9607336200752954</c:v>
                </c:pt>
                <c:pt idx="37">
                  <c:v>6.3861005100244022</c:v>
                </c:pt>
                <c:pt idx="38">
                  <c:v>3.8910510407578678</c:v>
                </c:pt>
                <c:pt idx="39">
                  <c:v>5.346304130001311</c:v>
                </c:pt>
                <c:pt idx="40">
                  <c:v>4.9009569959722015</c:v>
                </c:pt>
                <c:pt idx="41">
                  <c:v>5.5841504012107261</c:v>
                </c:pt>
                <c:pt idx="42">
                  <c:v>6.6239192059161631</c:v>
                </c:pt>
                <c:pt idx="43">
                  <c:v>5.8515702265063378</c:v>
                </c:pt>
                <c:pt idx="44">
                  <c:v>5.7029403427530774</c:v>
                </c:pt>
                <c:pt idx="45">
                  <c:v>5.7622509223177092</c:v>
                </c:pt>
                <c:pt idx="46">
                  <c:v>5.1681628522267538</c:v>
                </c:pt>
                <c:pt idx="47">
                  <c:v>6.7718437852727158</c:v>
                </c:pt>
                <c:pt idx="48">
                  <c:v>6.8192466917696244</c:v>
                </c:pt>
                <c:pt idx="49">
                  <c:v>6.3616752387518831</c:v>
                </c:pt>
                <c:pt idx="50">
                  <c:v>6.8604305774700309</c:v>
                </c:pt>
                <c:pt idx="51">
                  <c:v>7.3180212969872818</c:v>
                </c:pt>
                <c:pt idx="52">
                  <c:v>7.4014467397729371</c:v>
                </c:pt>
                <c:pt idx="53">
                  <c:v>7.1520179846425895</c:v>
                </c:pt>
                <c:pt idx="54">
                  <c:v>6.652807129314537</c:v>
                </c:pt>
                <c:pt idx="55">
                  <c:v>7.3600005271606728</c:v>
                </c:pt>
                <c:pt idx="56">
                  <c:v>7.4019525301654889</c:v>
                </c:pt>
                <c:pt idx="57">
                  <c:v>8.56627966316052</c:v>
                </c:pt>
                <c:pt idx="58">
                  <c:v>12.142701422530036</c:v>
                </c:pt>
                <c:pt idx="59">
                  <c:v>9.7226610290198003</c:v>
                </c:pt>
                <c:pt idx="60">
                  <c:v>12.051238345470043</c:v>
                </c:pt>
                <c:pt idx="61">
                  <c:v>12.109084289528299</c:v>
                </c:pt>
                <c:pt idx="62">
                  <c:v>12.98214926680329</c:v>
                </c:pt>
                <c:pt idx="63">
                  <c:v>13.157408281905136</c:v>
                </c:pt>
                <c:pt idx="64">
                  <c:v>13.623180535084579</c:v>
                </c:pt>
                <c:pt idx="65">
                  <c:v>14.496426407383501</c:v>
                </c:pt>
                <c:pt idx="66">
                  <c:v>16.650595371520691</c:v>
                </c:pt>
                <c:pt idx="67">
                  <c:v>20.551829867067987</c:v>
                </c:pt>
                <c:pt idx="68">
                  <c:v>16.768237988540768</c:v>
                </c:pt>
                <c:pt idx="69">
                  <c:v>16.419458638379119</c:v>
                </c:pt>
                <c:pt idx="70">
                  <c:v>16.186302325714134</c:v>
                </c:pt>
                <c:pt idx="71">
                  <c:v>18.3002334094524</c:v>
                </c:pt>
                <c:pt idx="72">
                  <c:v>17.99644953485549</c:v>
                </c:pt>
                <c:pt idx="73">
                  <c:v>14.578923768186433</c:v>
                </c:pt>
                <c:pt idx="74">
                  <c:v>12.832368700757698</c:v>
                </c:pt>
                <c:pt idx="75">
                  <c:v>14.274726942722864</c:v>
                </c:pt>
                <c:pt idx="76">
                  <c:v>12.528927837627858</c:v>
                </c:pt>
                <c:pt idx="77">
                  <c:v>16.097166485784271</c:v>
                </c:pt>
                <c:pt idx="78">
                  <c:v>15.261723545172066</c:v>
                </c:pt>
                <c:pt idx="79">
                  <c:v>15.261723545172066</c:v>
                </c:pt>
                <c:pt idx="80">
                  <c:v>14.654306948074217</c:v>
                </c:pt>
                <c:pt idx="81">
                  <c:v>14.427165190379068</c:v>
                </c:pt>
                <c:pt idx="82">
                  <c:v>13.7433175603551</c:v>
                </c:pt>
                <c:pt idx="83">
                  <c:v>14.885387249620608</c:v>
                </c:pt>
                <c:pt idx="84">
                  <c:v>12.267047632412345</c:v>
                </c:pt>
                <c:pt idx="85">
                  <c:v>10.01604439186468</c:v>
                </c:pt>
                <c:pt idx="86">
                  <c:v>11.761840929366695</c:v>
                </c:pt>
                <c:pt idx="87">
                  <c:v>13.323813404786593</c:v>
                </c:pt>
                <c:pt idx="88">
                  <c:v>14.701495710841526</c:v>
                </c:pt>
                <c:pt idx="89">
                  <c:v>16.264264704903979</c:v>
                </c:pt>
                <c:pt idx="90">
                  <c:v>14.702895293233198</c:v>
                </c:pt>
                <c:pt idx="91">
                  <c:v>14.795523533580566</c:v>
                </c:pt>
                <c:pt idx="92">
                  <c:v>13.968453768053413</c:v>
                </c:pt>
                <c:pt idx="93">
                  <c:v>14.243632307284066</c:v>
                </c:pt>
                <c:pt idx="94">
                  <c:v>12.54294260979435</c:v>
                </c:pt>
                <c:pt idx="95">
                  <c:v>14.727923212420524</c:v>
                </c:pt>
                <c:pt idx="96">
                  <c:v>13.873703666100134</c:v>
                </c:pt>
                <c:pt idx="97">
                  <c:v>12.43361322555894</c:v>
                </c:pt>
                <c:pt idx="98">
                  <c:v>13.394731527894645</c:v>
                </c:pt>
                <c:pt idx="99">
                  <c:v>13.927841842704852</c:v>
                </c:pt>
                <c:pt idx="100">
                  <c:v>12.806650574367112</c:v>
                </c:pt>
                <c:pt idx="101">
                  <c:v>12.700355374599864</c:v>
                </c:pt>
                <c:pt idx="102">
                  <c:v>11.953574478573392</c:v>
                </c:pt>
                <c:pt idx="103">
                  <c:v>11.793396580560509</c:v>
                </c:pt>
                <c:pt idx="104">
                  <c:v>11.633006387064885</c:v>
                </c:pt>
                <c:pt idx="105">
                  <c:v>12.379845397114451</c:v>
                </c:pt>
                <c:pt idx="106">
                  <c:v>13.393754735138126</c:v>
                </c:pt>
                <c:pt idx="107">
                  <c:v>16.755587173657794</c:v>
                </c:pt>
                <c:pt idx="108">
                  <c:v>18.240132197243874</c:v>
                </c:pt>
                <c:pt idx="109">
                  <c:v>18.887656890246031</c:v>
                </c:pt>
                <c:pt idx="110">
                  <c:v>19.663939588435142</c:v>
                </c:pt>
                <c:pt idx="111">
                  <c:v>17.076165138597077</c:v>
                </c:pt>
                <c:pt idx="112">
                  <c:v>17.270833421177084</c:v>
                </c:pt>
                <c:pt idx="113">
                  <c:v>20.051437601986596</c:v>
                </c:pt>
                <c:pt idx="114">
                  <c:v>19.1451126223768</c:v>
                </c:pt>
                <c:pt idx="115">
                  <c:v>18.432914432824383</c:v>
                </c:pt>
                <c:pt idx="116">
                  <c:v>16.945378238095454</c:v>
                </c:pt>
                <c:pt idx="117">
                  <c:v>17.269034962443076</c:v>
                </c:pt>
                <c:pt idx="118">
                  <c:v>16.168997435335452</c:v>
                </c:pt>
                <c:pt idx="119">
                  <c:v>15.845617486628743</c:v>
                </c:pt>
                <c:pt idx="120">
                  <c:v>16.845475950035016</c:v>
                </c:pt>
                <c:pt idx="121">
                  <c:v>17.67595791437174</c:v>
                </c:pt>
                <c:pt idx="122">
                  <c:v>18.582734555379009</c:v>
                </c:pt>
                <c:pt idx="123">
                  <c:v>19.640092151580074</c:v>
                </c:pt>
                <c:pt idx="124">
                  <c:v>22.209016205006748</c:v>
                </c:pt>
                <c:pt idx="125">
                  <c:v>21.151867033648426</c:v>
                </c:pt>
                <c:pt idx="126">
                  <c:v>21.83084196542854</c:v>
                </c:pt>
                <c:pt idx="127">
                  <c:v>21.151902780303711</c:v>
                </c:pt>
                <c:pt idx="128">
                  <c:v>22.435823279068146</c:v>
                </c:pt>
                <c:pt idx="129">
                  <c:v>24.852161446223782</c:v>
                </c:pt>
                <c:pt idx="130">
                  <c:v>24.852161446223782</c:v>
                </c:pt>
                <c:pt idx="131">
                  <c:v>27.0416368696361</c:v>
                </c:pt>
                <c:pt idx="132">
                  <c:v>25.530009368623443</c:v>
                </c:pt>
                <c:pt idx="133">
                  <c:v>28.300015385119089</c:v>
                </c:pt>
                <c:pt idx="134">
                  <c:v>26.559564438934263</c:v>
                </c:pt>
                <c:pt idx="135">
                  <c:v>31.048130829114154</c:v>
                </c:pt>
                <c:pt idx="136">
                  <c:v>32.970010127436325</c:v>
                </c:pt>
                <c:pt idx="137">
                  <c:v>39.379380096209943</c:v>
                </c:pt>
                <c:pt idx="138">
                  <c:v>37.729384070178746</c:v>
                </c:pt>
                <c:pt idx="139">
                  <c:v>36.8125600372734</c:v>
                </c:pt>
                <c:pt idx="140">
                  <c:v>39.650808416147179</c:v>
                </c:pt>
                <c:pt idx="141">
                  <c:v>37.727744207964044</c:v>
                </c:pt>
                <c:pt idx="142">
                  <c:v>36.62986685151229</c:v>
                </c:pt>
                <c:pt idx="143">
                  <c:v>35.53097084596692</c:v>
                </c:pt>
                <c:pt idx="144">
                  <c:v>41.301200511351944</c:v>
                </c:pt>
                <c:pt idx="145">
                  <c:v>44.865494115481617</c:v>
                </c:pt>
                <c:pt idx="146">
                  <c:v>47.983645956507594</c:v>
                </c:pt>
                <c:pt idx="147">
                  <c:v>52.436528301271501</c:v>
                </c:pt>
                <c:pt idx="148">
                  <c:v>51.770584391845354</c:v>
                </c:pt>
                <c:pt idx="149">
                  <c:v>50.098394515988751</c:v>
                </c:pt>
                <c:pt idx="150">
                  <c:v>51.210578874243701</c:v>
                </c:pt>
                <c:pt idx="151">
                  <c:v>49.428450729420021</c:v>
                </c:pt>
                <c:pt idx="152">
                  <c:v>49.314765292742358</c:v>
                </c:pt>
                <c:pt idx="153">
                  <c:v>51.987625571608994</c:v>
                </c:pt>
                <c:pt idx="154">
                  <c:v>63.232548982748014</c:v>
                </c:pt>
                <c:pt idx="155">
                  <c:v>60.557812160777772</c:v>
                </c:pt>
                <c:pt idx="156">
                  <c:v>66.135186660785408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2A-498C-9386-D72E300A92DB}"/>
            </c:ext>
          </c:extLst>
        </c:ser>
        <c:ser>
          <c:idx val="5"/>
          <c:order val="5"/>
          <c:tx>
            <c:strRef>
              <c:f>標準差與幾何平均值!$O$1</c:f>
              <c:strCache>
                <c:ptCount val="1"/>
                <c:pt idx="0">
                  <c:v>2501國建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標準差與幾何平均值!$A$1:$A$158</c:f>
              <c:strCache>
                <c:ptCount val="158"/>
                <c:pt idx="0">
                  <c:v>年月</c:v>
                </c:pt>
                <c:pt idx="1">
                  <c:v>Aug-83</c:v>
                </c:pt>
                <c:pt idx="2">
                  <c:v>Sep-83</c:v>
                </c:pt>
                <c:pt idx="3">
                  <c:v>Oct-83</c:v>
                </c:pt>
                <c:pt idx="4">
                  <c:v>Nov-83</c:v>
                </c:pt>
                <c:pt idx="5">
                  <c:v>Dec-83</c:v>
                </c:pt>
                <c:pt idx="6">
                  <c:v>Jan-84</c:v>
                </c:pt>
                <c:pt idx="7">
                  <c:v>Feb-84</c:v>
                </c:pt>
                <c:pt idx="8">
                  <c:v>Mar-84</c:v>
                </c:pt>
                <c:pt idx="9">
                  <c:v>Apr-84</c:v>
                </c:pt>
                <c:pt idx="10">
                  <c:v>May-84</c:v>
                </c:pt>
                <c:pt idx="11">
                  <c:v>Jun-84</c:v>
                </c:pt>
                <c:pt idx="12">
                  <c:v>Jul-84</c:v>
                </c:pt>
                <c:pt idx="13">
                  <c:v>Aug-84</c:v>
                </c:pt>
                <c:pt idx="14">
                  <c:v>Sep-84</c:v>
                </c:pt>
                <c:pt idx="15">
                  <c:v>Oct-84</c:v>
                </c:pt>
                <c:pt idx="16">
                  <c:v>Nov-84</c:v>
                </c:pt>
                <c:pt idx="17">
                  <c:v>Dec-84</c:v>
                </c:pt>
                <c:pt idx="18">
                  <c:v>Jan-85</c:v>
                </c:pt>
                <c:pt idx="19">
                  <c:v>Feb-85</c:v>
                </c:pt>
                <c:pt idx="20">
                  <c:v>Mar-85</c:v>
                </c:pt>
                <c:pt idx="21">
                  <c:v>Apr-85</c:v>
                </c:pt>
                <c:pt idx="22">
                  <c:v>May-85</c:v>
                </c:pt>
                <c:pt idx="23">
                  <c:v>Jun-85</c:v>
                </c:pt>
                <c:pt idx="24">
                  <c:v>Jul-85</c:v>
                </c:pt>
                <c:pt idx="25">
                  <c:v>Aug-85</c:v>
                </c:pt>
                <c:pt idx="26">
                  <c:v>Sep-85</c:v>
                </c:pt>
                <c:pt idx="27">
                  <c:v>Oct-85</c:v>
                </c:pt>
                <c:pt idx="28">
                  <c:v>Nov-85</c:v>
                </c:pt>
                <c:pt idx="29">
                  <c:v>Dec-85</c:v>
                </c:pt>
                <c:pt idx="30">
                  <c:v>Jan-86</c:v>
                </c:pt>
                <c:pt idx="31">
                  <c:v>Feb-86</c:v>
                </c:pt>
                <c:pt idx="32">
                  <c:v>Mar-86</c:v>
                </c:pt>
                <c:pt idx="33">
                  <c:v>Apr-86</c:v>
                </c:pt>
                <c:pt idx="34">
                  <c:v>May-86</c:v>
                </c:pt>
                <c:pt idx="35">
                  <c:v>Jun-86</c:v>
                </c:pt>
                <c:pt idx="36">
                  <c:v>Jul-86</c:v>
                </c:pt>
                <c:pt idx="37">
                  <c:v>Aug-86</c:v>
                </c:pt>
                <c:pt idx="38">
                  <c:v>Sep-86</c:v>
                </c:pt>
                <c:pt idx="39">
                  <c:v>Oct-86</c:v>
                </c:pt>
                <c:pt idx="40">
                  <c:v>Nov-86</c:v>
                </c:pt>
                <c:pt idx="41">
                  <c:v>Dec-86</c:v>
                </c:pt>
                <c:pt idx="42">
                  <c:v>Jan-87</c:v>
                </c:pt>
                <c:pt idx="43">
                  <c:v>Feb-87</c:v>
                </c:pt>
                <c:pt idx="44">
                  <c:v>Mar-87</c:v>
                </c:pt>
                <c:pt idx="45">
                  <c:v>Apr-87</c:v>
                </c:pt>
                <c:pt idx="46">
                  <c:v>May-87</c:v>
                </c:pt>
                <c:pt idx="47">
                  <c:v>Jun-87</c:v>
                </c:pt>
                <c:pt idx="48">
                  <c:v>Jul-87</c:v>
                </c:pt>
                <c:pt idx="49">
                  <c:v>Aug-87</c:v>
                </c:pt>
                <c:pt idx="50">
                  <c:v>Sep-87</c:v>
                </c:pt>
                <c:pt idx="51">
                  <c:v>Oct-87</c:v>
                </c:pt>
                <c:pt idx="52">
                  <c:v>Nov-87</c:v>
                </c:pt>
                <c:pt idx="53">
                  <c:v>Dec-87</c:v>
                </c:pt>
                <c:pt idx="54">
                  <c:v>Jan-88</c:v>
                </c:pt>
                <c:pt idx="55">
                  <c:v>Feb-88</c:v>
                </c:pt>
                <c:pt idx="56">
                  <c:v>Mar-88</c:v>
                </c:pt>
                <c:pt idx="57">
                  <c:v>Apr-88</c:v>
                </c:pt>
                <c:pt idx="58">
                  <c:v>May-88</c:v>
                </c:pt>
                <c:pt idx="59">
                  <c:v>Jun-88</c:v>
                </c:pt>
                <c:pt idx="60">
                  <c:v>Jul-88</c:v>
                </c:pt>
                <c:pt idx="61">
                  <c:v>Aug-88</c:v>
                </c:pt>
                <c:pt idx="62">
                  <c:v>Sep-88</c:v>
                </c:pt>
                <c:pt idx="63">
                  <c:v>Oct-88</c:v>
                </c:pt>
                <c:pt idx="64">
                  <c:v>Nov-88</c:v>
                </c:pt>
                <c:pt idx="65">
                  <c:v>Dec-88</c:v>
                </c:pt>
                <c:pt idx="66">
                  <c:v>Jan-89</c:v>
                </c:pt>
                <c:pt idx="67">
                  <c:v>Feb-89</c:v>
                </c:pt>
                <c:pt idx="68">
                  <c:v>Mar-89</c:v>
                </c:pt>
                <c:pt idx="69">
                  <c:v>Apr-89</c:v>
                </c:pt>
                <c:pt idx="70">
                  <c:v>May-89</c:v>
                </c:pt>
                <c:pt idx="71">
                  <c:v>Jun-89</c:v>
                </c:pt>
                <c:pt idx="72">
                  <c:v>Jul-89</c:v>
                </c:pt>
                <c:pt idx="73">
                  <c:v>Aug-89</c:v>
                </c:pt>
                <c:pt idx="74">
                  <c:v>Sep-89</c:v>
                </c:pt>
                <c:pt idx="75">
                  <c:v>Oct-89</c:v>
                </c:pt>
                <c:pt idx="76">
                  <c:v>Nov-89</c:v>
                </c:pt>
                <c:pt idx="77">
                  <c:v>Dec-89</c:v>
                </c:pt>
                <c:pt idx="78">
                  <c:v>Jan-90</c:v>
                </c:pt>
                <c:pt idx="79">
                  <c:v>Feb-90</c:v>
                </c:pt>
                <c:pt idx="80">
                  <c:v>Mar-90</c:v>
                </c:pt>
                <c:pt idx="81">
                  <c:v>Apr-90</c:v>
                </c:pt>
                <c:pt idx="82">
                  <c:v>May-90</c:v>
                </c:pt>
                <c:pt idx="83">
                  <c:v>Jun-90</c:v>
                </c:pt>
                <c:pt idx="84">
                  <c:v>Jul-90</c:v>
                </c:pt>
                <c:pt idx="85">
                  <c:v>Aug-90</c:v>
                </c:pt>
                <c:pt idx="86">
                  <c:v>Sep-90</c:v>
                </c:pt>
                <c:pt idx="87">
                  <c:v>Oct-90</c:v>
                </c:pt>
                <c:pt idx="88">
                  <c:v>Nov-90</c:v>
                </c:pt>
                <c:pt idx="89">
                  <c:v>Dec-90</c:v>
                </c:pt>
                <c:pt idx="90">
                  <c:v>Jan-91</c:v>
                </c:pt>
                <c:pt idx="91">
                  <c:v>Feb-91</c:v>
                </c:pt>
                <c:pt idx="92">
                  <c:v>Mar-91</c:v>
                </c:pt>
                <c:pt idx="93">
                  <c:v>Apr-91</c:v>
                </c:pt>
                <c:pt idx="94">
                  <c:v>May-91</c:v>
                </c:pt>
                <c:pt idx="95">
                  <c:v>Jun-91</c:v>
                </c:pt>
                <c:pt idx="96">
                  <c:v>Jul-91</c:v>
                </c:pt>
                <c:pt idx="97">
                  <c:v>Aug-91</c:v>
                </c:pt>
                <c:pt idx="98">
                  <c:v>Sep-91</c:v>
                </c:pt>
                <c:pt idx="99">
                  <c:v>Oct-91</c:v>
                </c:pt>
                <c:pt idx="100">
                  <c:v>Nov-91</c:v>
                </c:pt>
                <c:pt idx="101">
                  <c:v>Dec-91</c:v>
                </c:pt>
                <c:pt idx="102">
                  <c:v>Jan-92</c:v>
                </c:pt>
                <c:pt idx="103">
                  <c:v>Feb-92</c:v>
                </c:pt>
                <c:pt idx="104">
                  <c:v>Mar-92</c:v>
                </c:pt>
                <c:pt idx="105">
                  <c:v>Apr-92</c:v>
                </c:pt>
                <c:pt idx="106">
                  <c:v>May-92</c:v>
                </c:pt>
                <c:pt idx="107">
                  <c:v>Jun-92</c:v>
                </c:pt>
                <c:pt idx="108">
                  <c:v>Jul-92</c:v>
                </c:pt>
                <c:pt idx="109">
                  <c:v>Aug-92</c:v>
                </c:pt>
                <c:pt idx="110">
                  <c:v>Sep-92</c:v>
                </c:pt>
                <c:pt idx="111">
                  <c:v>Oct-92</c:v>
                </c:pt>
                <c:pt idx="112">
                  <c:v>Nov-92</c:v>
                </c:pt>
                <c:pt idx="113">
                  <c:v>Dec-92</c:v>
                </c:pt>
                <c:pt idx="114">
                  <c:v>Jan-93</c:v>
                </c:pt>
                <c:pt idx="115">
                  <c:v>Feb-93</c:v>
                </c:pt>
                <c:pt idx="116">
                  <c:v>Mar-93</c:v>
                </c:pt>
                <c:pt idx="117">
                  <c:v>Apr-93</c:v>
                </c:pt>
                <c:pt idx="118">
                  <c:v>May-93</c:v>
                </c:pt>
                <c:pt idx="119">
                  <c:v>Jun-93</c:v>
                </c:pt>
                <c:pt idx="120">
                  <c:v>Jul-93</c:v>
                </c:pt>
                <c:pt idx="121">
                  <c:v>Aug-93</c:v>
                </c:pt>
                <c:pt idx="122">
                  <c:v>Sep-93</c:v>
                </c:pt>
                <c:pt idx="123">
                  <c:v>Oct-93</c:v>
                </c:pt>
                <c:pt idx="124">
                  <c:v>Nov-93</c:v>
                </c:pt>
                <c:pt idx="125">
                  <c:v>Dec-93</c:v>
                </c:pt>
                <c:pt idx="126">
                  <c:v>Jan-94</c:v>
                </c:pt>
                <c:pt idx="127">
                  <c:v>Feb-94</c:v>
                </c:pt>
                <c:pt idx="128">
                  <c:v>Mar-94</c:v>
                </c:pt>
                <c:pt idx="129">
                  <c:v>Apr-94</c:v>
                </c:pt>
                <c:pt idx="130">
                  <c:v>May-94</c:v>
                </c:pt>
                <c:pt idx="131">
                  <c:v>Jun-94</c:v>
                </c:pt>
                <c:pt idx="132">
                  <c:v>Jul-94</c:v>
                </c:pt>
                <c:pt idx="133">
                  <c:v>Aug-94</c:v>
                </c:pt>
                <c:pt idx="134">
                  <c:v>Sep-94</c:v>
                </c:pt>
                <c:pt idx="135">
                  <c:v>Oct-94</c:v>
                </c:pt>
                <c:pt idx="136">
                  <c:v>Nov-94</c:v>
                </c:pt>
                <c:pt idx="137">
                  <c:v>Dec-94</c:v>
                </c:pt>
                <c:pt idx="138">
                  <c:v>Jan-95</c:v>
                </c:pt>
                <c:pt idx="139">
                  <c:v>Feb-95</c:v>
                </c:pt>
                <c:pt idx="140">
                  <c:v>Mar-95</c:v>
                </c:pt>
                <c:pt idx="141">
                  <c:v>Apr-95</c:v>
                </c:pt>
                <c:pt idx="142">
                  <c:v>May-95</c:v>
                </c:pt>
                <c:pt idx="143">
                  <c:v>Jun-95</c:v>
                </c:pt>
                <c:pt idx="144">
                  <c:v>Jul-95</c:v>
                </c:pt>
                <c:pt idx="145">
                  <c:v>Aug-95</c:v>
                </c:pt>
                <c:pt idx="146">
                  <c:v>Sep-95</c:v>
                </c:pt>
                <c:pt idx="147">
                  <c:v>Oct-95</c:v>
                </c:pt>
                <c:pt idx="148">
                  <c:v>Nov-95</c:v>
                </c:pt>
                <c:pt idx="149">
                  <c:v>Dec-95</c:v>
                </c:pt>
                <c:pt idx="150">
                  <c:v>Jan-96</c:v>
                </c:pt>
                <c:pt idx="151">
                  <c:v>Feb-96</c:v>
                </c:pt>
                <c:pt idx="152">
                  <c:v>Mar-96</c:v>
                </c:pt>
                <c:pt idx="153">
                  <c:v>Apr-96</c:v>
                </c:pt>
                <c:pt idx="154">
                  <c:v>May-96</c:v>
                </c:pt>
                <c:pt idx="155">
                  <c:v>Jun-96</c:v>
                </c:pt>
                <c:pt idx="156">
                  <c:v>Jul-96</c:v>
                </c:pt>
                <c:pt idx="157">
                  <c:v>Aug-96</c:v>
                </c:pt>
              </c:strCache>
            </c:strRef>
          </c:cat>
          <c:val>
            <c:numRef>
              <c:f>標準差與幾何平均值!$O$2:$O$158</c:f>
              <c:numCache>
                <c:formatCode>General</c:formatCode>
                <c:ptCount val="157"/>
                <c:pt idx="0">
                  <c:v>1</c:v>
                </c:pt>
                <c:pt idx="1">
                  <c:v>1.0085999999999999</c:v>
                </c:pt>
                <c:pt idx="2">
                  <c:v>0.90794171999999995</c:v>
                </c:pt>
                <c:pt idx="3">
                  <c:v>0.85010583243600002</c:v>
                </c:pt>
                <c:pt idx="4">
                  <c:v>0.95288362757751244</c:v>
                </c:pt>
                <c:pt idx="5">
                  <c:v>0.88865927107878806</c:v>
                </c:pt>
                <c:pt idx="6">
                  <c:v>0.87799535982584265</c:v>
                </c:pt>
                <c:pt idx="7">
                  <c:v>0.88229753708898917</c:v>
                </c:pt>
                <c:pt idx="8">
                  <c:v>0.79239141805962121</c:v>
                </c:pt>
                <c:pt idx="9">
                  <c:v>0.75166249917135664</c:v>
                </c:pt>
                <c:pt idx="10">
                  <c:v>0.71693569170964</c:v>
                </c:pt>
                <c:pt idx="11">
                  <c:v>0.79257240718500699</c:v>
                </c:pt>
                <c:pt idx="12">
                  <c:v>0.77434324181975178</c:v>
                </c:pt>
                <c:pt idx="13">
                  <c:v>0.81081480850946208</c:v>
                </c:pt>
                <c:pt idx="14">
                  <c:v>0.7612740237095339</c:v>
                </c:pt>
                <c:pt idx="15">
                  <c:v>0.7612740237095339</c:v>
                </c:pt>
                <c:pt idx="16">
                  <c:v>0.89685692733220179</c:v>
                </c:pt>
                <c:pt idx="17">
                  <c:v>0.81605011817957041</c:v>
                </c:pt>
                <c:pt idx="18">
                  <c:v>0.88125252262211817</c:v>
                </c:pt>
                <c:pt idx="19">
                  <c:v>0.90213820740826245</c:v>
                </c:pt>
                <c:pt idx="20">
                  <c:v>1.2254645409433838</c:v>
                </c:pt>
                <c:pt idx="21">
                  <c:v>1.2723998328615154</c:v>
                </c:pt>
                <c:pt idx="22">
                  <c:v>1.436666651283937</c:v>
                </c:pt>
                <c:pt idx="23">
                  <c:v>1.3432833189504811</c:v>
                </c:pt>
                <c:pt idx="24">
                  <c:v>1.4135370365315914</c:v>
                </c:pt>
                <c:pt idx="25">
                  <c:v>1.410568608754875</c:v>
                </c:pt>
                <c:pt idx="26">
                  <c:v>1.3315767666646019</c:v>
                </c:pt>
                <c:pt idx="27">
                  <c:v>1.3432946422112504</c:v>
                </c:pt>
                <c:pt idx="28">
                  <c:v>1.3666679689857262</c:v>
                </c:pt>
                <c:pt idx="29">
                  <c:v>1.3344146049176631</c:v>
                </c:pt>
                <c:pt idx="30">
                  <c:v>1.4280905101828831</c:v>
                </c:pt>
                <c:pt idx="31">
                  <c:v>1.433945681274633</c:v>
                </c:pt>
                <c:pt idx="32">
                  <c:v>1.4193194353256318</c:v>
                </c:pt>
                <c:pt idx="33">
                  <c:v>1.3022255819112671</c:v>
                </c:pt>
                <c:pt idx="34">
                  <c:v>1.4379174875464213</c:v>
                </c:pt>
                <c:pt idx="35">
                  <c:v>1.4924145603244308</c:v>
                </c:pt>
                <c:pt idx="36">
                  <c:v>1.4098840351384898</c:v>
                </c:pt>
                <c:pt idx="37">
                  <c:v>1.3558854765926855</c:v>
                </c:pt>
                <c:pt idx="38">
                  <c:v>1.0478282963108274</c:v>
                </c:pt>
                <c:pt idx="39">
                  <c:v>1.1303971660601206</c:v>
                </c:pt>
                <c:pt idx="40">
                  <c:v>1.18115199881622</c:v>
                </c:pt>
                <c:pt idx="41">
                  <c:v>1.1176060212799075</c:v>
                </c:pt>
                <c:pt idx="42">
                  <c:v>1.1462167354246733</c:v>
                </c:pt>
                <c:pt idx="43">
                  <c:v>1.0732027293781217</c:v>
                </c:pt>
                <c:pt idx="44">
                  <c:v>0.97157043090601358</c:v>
                </c:pt>
                <c:pt idx="45">
                  <c:v>0.84458617558659754</c:v>
                </c:pt>
                <c:pt idx="46">
                  <c:v>0.79686705666595481</c:v>
                </c:pt>
                <c:pt idx="47">
                  <c:v>0.75335811537199371</c:v>
                </c:pt>
                <c:pt idx="48">
                  <c:v>0.5901807475824199</c:v>
                </c:pt>
                <c:pt idx="49">
                  <c:v>0.62836544195100241</c:v>
                </c:pt>
                <c:pt idx="50">
                  <c:v>0.69779982328658818</c:v>
                </c:pt>
                <c:pt idx="51">
                  <c:v>0.77420890393646957</c:v>
                </c:pt>
                <c:pt idx="52">
                  <c:v>0.69090402587290545</c:v>
                </c:pt>
                <c:pt idx="53">
                  <c:v>0.57980665851254232</c:v>
                </c:pt>
                <c:pt idx="54">
                  <c:v>0.57980665851254232</c:v>
                </c:pt>
                <c:pt idx="55">
                  <c:v>0.62149475725959413</c:v>
                </c:pt>
                <c:pt idx="56">
                  <c:v>0.69787646292679828</c:v>
                </c:pt>
                <c:pt idx="57">
                  <c:v>0.59717288932646129</c:v>
                </c:pt>
                <c:pt idx="58">
                  <c:v>0.6286439005939658</c:v>
                </c:pt>
                <c:pt idx="59">
                  <c:v>0.55320663252268987</c:v>
                </c:pt>
                <c:pt idx="60">
                  <c:v>0.57007943481463186</c:v>
                </c:pt>
                <c:pt idx="61">
                  <c:v>0.54379877286967726</c:v>
                </c:pt>
                <c:pt idx="62">
                  <c:v>0.48191447251710801</c:v>
                </c:pt>
                <c:pt idx="63">
                  <c:v>0.43502419434119344</c:v>
                </c:pt>
                <c:pt idx="64">
                  <c:v>0.39191329668198116</c:v>
                </c:pt>
                <c:pt idx="65">
                  <c:v>0.51379833195007729</c:v>
                </c:pt>
                <c:pt idx="66">
                  <c:v>0.48754323718742831</c:v>
                </c:pt>
                <c:pt idx="67">
                  <c:v>0.48003507133474194</c:v>
                </c:pt>
                <c:pt idx="68">
                  <c:v>0.39377276901588881</c:v>
                </c:pt>
                <c:pt idx="69">
                  <c:v>0.39377276901588881</c:v>
                </c:pt>
                <c:pt idx="70">
                  <c:v>0.3423460453824137</c:v>
                </c:pt>
                <c:pt idx="71">
                  <c:v>0.38955556504064853</c:v>
                </c:pt>
                <c:pt idx="72">
                  <c:v>0.32660338573007974</c:v>
                </c:pt>
                <c:pt idx="73">
                  <c:v>0.2892072980639856</c:v>
                </c:pt>
                <c:pt idx="74">
                  <c:v>0.30494017507866639</c:v>
                </c:pt>
                <c:pt idx="75">
                  <c:v>0.30887390333718118</c:v>
                </c:pt>
                <c:pt idx="76">
                  <c:v>0.29117542867596069</c:v>
                </c:pt>
                <c:pt idx="77">
                  <c:v>0.3384040832072015</c:v>
                </c:pt>
                <c:pt idx="78">
                  <c:v>0.39349626795333392</c:v>
                </c:pt>
                <c:pt idx="79">
                  <c:v>0.34037427177963386</c:v>
                </c:pt>
                <c:pt idx="80">
                  <c:v>0.30497534751455196</c:v>
                </c:pt>
                <c:pt idx="81">
                  <c:v>0.29512464378983194</c:v>
                </c:pt>
                <c:pt idx="82">
                  <c:v>0.28615285461862106</c:v>
                </c:pt>
                <c:pt idx="83">
                  <c:v>0.27773996069283358</c:v>
                </c:pt>
                <c:pt idx="84">
                  <c:v>0.32403921214032894</c:v>
                </c:pt>
                <c:pt idx="85">
                  <c:v>0.32614546701924108</c:v>
                </c:pt>
                <c:pt idx="86">
                  <c:v>0.32193819049469286</c:v>
                </c:pt>
                <c:pt idx="87">
                  <c:v>0.31984559225647735</c:v>
                </c:pt>
                <c:pt idx="88">
                  <c:v>0.35141435221219169</c:v>
                </c:pt>
                <c:pt idx="89">
                  <c:v>0.35563132443873802</c:v>
                </c:pt>
                <c:pt idx="90">
                  <c:v>0.33038150040358766</c:v>
                </c:pt>
                <c:pt idx="91">
                  <c:v>0.35985153023958766</c:v>
                </c:pt>
                <c:pt idx="92">
                  <c:v>0.4208823497682217</c:v>
                </c:pt>
                <c:pt idx="93">
                  <c:v>0.38089852654024065</c:v>
                </c:pt>
                <c:pt idx="94">
                  <c:v>0.37457561099967268</c:v>
                </c:pt>
                <c:pt idx="95">
                  <c:v>0.35775716606578734</c:v>
                </c:pt>
                <c:pt idx="96">
                  <c:v>0.31775991489963229</c:v>
                </c:pt>
                <c:pt idx="97">
                  <c:v>0.31566269946129472</c:v>
                </c:pt>
                <c:pt idx="98">
                  <c:v>0.32828920743974649</c:v>
                </c:pt>
                <c:pt idx="99">
                  <c:v>0.33249130929497522</c:v>
                </c:pt>
                <c:pt idx="100">
                  <c:v>0.31776194429320781</c:v>
                </c:pt>
                <c:pt idx="101">
                  <c:v>0.37880401379193301</c:v>
                </c:pt>
                <c:pt idx="102">
                  <c:v>0.33459758538241441</c:v>
                </c:pt>
                <c:pt idx="103">
                  <c:v>0.33459758538241441</c:v>
                </c:pt>
                <c:pt idx="104">
                  <c:v>0.32827369101868675</c:v>
                </c:pt>
                <c:pt idx="105">
                  <c:v>0.34931603461298461</c:v>
                </c:pt>
                <c:pt idx="106">
                  <c:v>0.38718189276503218</c:v>
                </c:pt>
                <c:pt idx="107">
                  <c:v>0.41033536995238112</c:v>
                </c:pt>
                <c:pt idx="108">
                  <c:v>0.58054248140862885</c:v>
                </c:pt>
                <c:pt idx="109">
                  <c:v>0.5872187199448281</c:v>
                </c:pt>
                <c:pt idx="110">
                  <c:v>0.5872187199448281</c:v>
                </c:pt>
                <c:pt idx="111">
                  <c:v>0.53607196943763358</c:v>
                </c:pt>
                <c:pt idx="112">
                  <c:v>0.56496624859032207</c:v>
                </c:pt>
                <c:pt idx="113">
                  <c:v>0.78293022729646833</c:v>
                </c:pt>
                <c:pt idx="114">
                  <c:v>0.89856902186815668</c:v>
                </c:pt>
                <c:pt idx="115">
                  <c:v>0.80071485538671439</c:v>
                </c:pt>
                <c:pt idx="116">
                  <c:v>0.6717196921839147</c:v>
                </c:pt>
                <c:pt idx="117">
                  <c:v>0.84522488867501988</c:v>
                </c:pt>
                <c:pt idx="118">
                  <c:v>0.80964092086180151</c:v>
                </c:pt>
                <c:pt idx="119">
                  <c:v>0.7589573992158527</c:v>
                </c:pt>
                <c:pt idx="120">
                  <c:v>0.79037823554338904</c:v>
                </c:pt>
                <c:pt idx="121">
                  <c:v>0.8173301333754186</c:v>
                </c:pt>
                <c:pt idx="122">
                  <c:v>0.75447744611884893</c:v>
                </c:pt>
                <c:pt idx="123">
                  <c:v>0.785939155622005</c:v>
                </c:pt>
                <c:pt idx="124">
                  <c:v>0.88025185429664565</c:v>
                </c:pt>
                <c:pt idx="125">
                  <c:v>0.85331614755516838</c:v>
                </c:pt>
                <c:pt idx="126">
                  <c:v>0.83087393287446742</c:v>
                </c:pt>
                <c:pt idx="127">
                  <c:v>0.75002989920578178</c:v>
                </c:pt>
                <c:pt idx="128">
                  <c:v>0.62199979541135486</c:v>
                </c:pt>
                <c:pt idx="129">
                  <c:v>0.5928280050065623</c:v>
                </c:pt>
                <c:pt idx="130">
                  <c:v>0.64896881708068377</c:v>
                </c:pt>
                <c:pt idx="131">
                  <c:v>0.67817241384931448</c:v>
                </c:pt>
                <c:pt idx="132">
                  <c:v>0.61978176901688853</c:v>
                </c:pt>
                <c:pt idx="133">
                  <c:v>0.58612761895927146</c:v>
                </c:pt>
                <c:pt idx="134">
                  <c:v>0.45811734697856654</c:v>
                </c:pt>
                <c:pt idx="135">
                  <c:v>0.46260689697895652</c:v>
                </c:pt>
                <c:pt idx="136">
                  <c:v>0.651257989566975</c:v>
                </c:pt>
                <c:pt idx="137">
                  <c:v>0.63328326905492649</c:v>
                </c:pt>
                <c:pt idx="138">
                  <c:v>0.70965723130295066</c:v>
                </c:pt>
                <c:pt idx="139">
                  <c:v>0.67147767225885191</c:v>
                </c:pt>
                <c:pt idx="140">
                  <c:v>0.87137657529031221</c:v>
                </c:pt>
                <c:pt idx="141">
                  <c:v>1.0241288889387039</c:v>
                </c:pt>
                <c:pt idx="142">
                  <c:v>1.0690881471631131</c:v>
                </c:pt>
                <c:pt idx="143">
                  <c:v>0.94560846616577343</c:v>
                </c:pt>
                <c:pt idx="144">
                  <c:v>0.82882582059430043</c:v>
                </c:pt>
                <c:pt idx="145">
                  <c:v>0.92994257070680497</c:v>
                </c:pt>
                <c:pt idx="146">
                  <c:v>0.9119946790921637</c:v>
                </c:pt>
                <c:pt idx="147">
                  <c:v>1.1163726866767176</c:v>
                </c:pt>
                <c:pt idx="148">
                  <c:v>1.0511765217747973</c:v>
                </c:pt>
                <c:pt idx="149">
                  <c:v>0.87594539559493845</c:v>
                </c:pt>
                <c:pt idx="150">
                  <c:v>1.0017311544023715</c:v>
                </c:pt>
                <c:pt idx="151">
                  <c:v>0.87370991286974842</c:v>
                </c:pt>
                <c:pt idx="152">
                  <c:v>0.85125556810899594</c:v>
                </c:pt>
                <c:pt idx="153">
                  <c:v>0.84904230363191247</c:v>
                </c:pt>
                <c:pt idx="154">
                  <c:v>0.86254207625965984</c:v>
                </c:pt>
                <c:pt idx="155">
                  <c:v>0.8935073367973817</c:v>
                </c:pt>
                <c:pt idx="156">
                  <c:v>0.7166822348451799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2A-498C-9386-D72E300A92DB}"/>
            </c:ext>
          </c:extLst>
        </c:ser>
        <c:ser>
          <c:idx val="6"/>
          <c:order val="6"/>
          <c:tx>
            <c:strRef>
              <c:f>標準差與幾何平均值!$P$1</c:f>
              <c:strCache>
                <c:ptCount val="1"/>
                <c:pt idx="0">
                  <c:v>Y9999加權指數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標準差與幾何平均值!$A$1:$A$158</c:f>
              <c:strCache>
                <c:ptCount val="158"/>
                <c:pt idx="0">
                  <c:v>年月</c:v>
                </c:pt>
                <c:pt idx="1">
                  <c:v>Aug-83</c:v>
                </c:pt>
                <c:pt idx="2">
                  <c:v>Sep-83</c:v>
                </c:pt>
                <c:pt idx="3">
                  <c:v>Oct-83</c:v>
                </c:pt>
                <c:pt idx="4">
                  <c:v>Nov-83</c:v>
                </c:pt>
                <c:pt idx="5">
                  <c:v>Dec-83</c:v>
                </c:pt>
                <c:pt idx="6">
                  <c:v>Jan-84</c:v>
                </c:pt>
                <c:pt idx="7">
                  <c:v>Feb-84</c:v>
                </c:pt>
                <c:pt idx="8">
                  <c:v>Mar-84</c:v>
                </c:pt>
                <c:pt idx="9">
                  <c:v>Apr-84</c:v>
                </c:pt>
                <c:pt idx="10">
                  <c:v>May-84</c:v>
                </c:pt>
                <c:pt idx="11">
                  <c:v>Jun-84</c:v>
                </c:pt>
                <c:pt idx="12">
                  <c:v>Jul-84</c:v>
                </c:pt>
                <c:pt idx="13">
                  <c:v>Aug-84</c:v>
                </c:pt>
                <c:pt idx="14">
                  <c:v>Sep-84</c:v>
                </c:pt>
                <c:pt idx="15">
                  <c:v>Oct-84</c:v>
                </c:pt>
                <c:pt idx="16">
                  <c:v>Nov-84</c:v>
                </c:pt>
                <c:pt idx="17">
                  <c:v>Dec-84</c:v>
                </c:pt>
                <c:pt idx="18">
                  <c:v>Jan-85</c:v>
                </c:pt>
                <c:pt idx="19">
                  <c:v>Feb-85</c:v>
                </c:pt>
                <c:pt idx="20">
                  <c:v>Mar-85</c:v>
                </c:pt>
                <c:pt idx="21">
                  <c:v>Apr-85</c:v>
                </c:pt>
                <c:pt idx="22">
                  <c:v>May-85</c:v>
                </c:pt>
                <c:pt idx="23">
                  <c:v>Jun-85</c:v>
                </c:pt>
                <c:pt idx="24">
                  <c:v>Jul-85</c:v>
                </c:pt>
                <c:pt idx="25">
                  <c:v>Aug-85</c:v>
                </c:pt>
                <c:pt idx="26">
                  <c:v>Sep-85</c:v>
                </c:pt>
                <c:pt idx="27">
                  <c:v>Oct-85</c:v>
                </c:pt>
                <c:pt idx="28">
                  <c:v>Nov-85</c:v>
                </c:pt>
                <c:pt idx="29">
                  <c:v>Dec-85</c:v>
                </c:pt>
                <c:pt idx="30">
                  <c:v>Jan-86</c:v>
                </c:pt>
                <c:pt idx="31">
                  <c:v>Feb-86</c:v>
                </c:pt>
                <c:pt idx="32">
                  <c:v>Mar-86</c:v>
                </c:pt>
                <c:pt idx="33">
                  <c:v>Apr-86</c:v>
                </c:pt>
                <c:pt idx="34">
                  <c:v>May-86</c:v>
                </c:pt>
                <c:pt idx="35">
                  <c:v>Jun-86</c:v>
                </c:pt>
                <c:pt idx="36">
                  <c:v>Jul-86</c:v>
                </c:pt>
                <c:pt idx="37">
                  <c:v>Aug-86</c:v>
                </c:pt>
                <c:pt idx="38">
                  <c:v>Sep-86</c:v>
                </c:pt>
                <c:pt idx="39">
                  <c:v>Oct-86</c:v>
                </c:pt>
                <c:pt idx="40">
                  <c:v>Nov-86</c:v>
                </c:pt>
                <c:pt idx="41">
                  <c:v>Dec-86</c:v>
                </c:pt>
                <c:pt idx="42">
                  <c:v>Jan-87</c:v>
                </c:pt>
                <c:pt idx="43">
                  <c:v>Feb-87</c:v>
                </c:pt>
                <c:pt idx="44">
                  <c:v>Mar-87</c:v>
                </c:pt>
                <c:pt idx="45">
                  <c:v>Apr-87</c:v>
                </c:pt>
                <c:pt idx="46">
                  <c:v>May-87</c:v>
                </c:pt>
                <c:pt idx="47">
                  <c:v>Jun-87</c:v>
                </c:pt>
                <c:pt idx="48">
                  <c:v>Jul-87</c:v>
                </c:pt>
                <c:pt idx="49">
                  <c:v>Aug-87</c:v>
                </c:pt>
                <c:pt idx="50">
                  <c:v>Sep-87</c:v>
                </c:pt>
                <c:pt idx="51">
                  <c:v>Oct-87</c:v>
                </c:pt>
                <c:pt idx="52">
                  <c:v>Nov-87</c:v>
                </c:pt>
                <c:pt idx="53">
                  <c:v>Dec-87</c:v>
                </c:pt>
                <c:pt idx="54">
                  <c:v>Jan-88</c:v>
                </c:pt>
                <c:pt idx="55">
                  <c:v>Feb-88</c:v>
                </c:pt>
                <c:pt idx="56">
                  <c:v>Mar-88</c:v>
                </c:pt>
                <c:pt idx="57">
                  <c:v>Apr-88</c:v>
                </c:pt>
                <c:pt idx="58">
                  <c:v>May-88</c:v>
                </c:pt>
                <c:pt idx="59">
                  <c:v>Jun-88</c:v>
                </c:pt>
                <c:pt idx="60">
                  <c:v>Jul-88</c:v>
                </c:pt>
                <c:pt idx="61">
                  <c:v>Aug-88</c:v>
                </c:pt>
                <c:pt idx="62">
                  <c:v>Sep-88</c:v>
                </c:pt>
                <c:pt idx="63">
                  <c:v>Oct-88</c:v>
                </c:pt>
                <c:pt idx="64">
                  <c:v>Nov-88</c:v>
                </c:pt>
                <c:pt idx="65">
                  <c:v>Dec-88</c:v>
                </c:pt>
                <c:pt idx="66">
                  <c:v>Jan-89</c:v>
                </c:pt>
                <c:pt idx="67">
                  <c:v>Feb-89</c:v>
                </c:pt>
                <c:pt idx="68">
                  <c:v>Mar-89</c:v>
                </c:pt>
                <c:pt idx="69">
                  <c:v>Apr-89</c:v>
                </c:pt>
                <c:pt idx="70">
                  <c:v>May-89</c:v>
                </c:pt>
                <c:pt idx="71">
                  <c:v>Jun-89</c:v>
                </c:pt>
                <c:pt idx="72">
                  <c:v>Jul-89</c:v>
                </c:pt>
                <c:pt idx="73">
                  <c:v>Aug-89</c:v>
                </c:pt>
                <c:pt idx="74">
                  <c:v>Sep-89</c:v>
                </c:pt>
                <c:pt idx="75">
                  <c:v>Oct-89</c:v>
                </c:pt>
                <c:pt idx="76">
                  <c:v>Nov-89</c:v>
                </c:pt>
                <c:pt idx="77">
                  <c:v>Dec-89</c:v>
                </c:pt>
                <c:pt idx="78">
                  <c:v>Jan-90</c:v>
                </c:pt>
                <c:pt idx="79">
                  <c:v>Feb-90</c:v>
                </c:pt>
                <c:pt idx="80">
                  <c:v>Mar-90</c:v>
                </c:pt>
                <c:pt idx="81">
                  <c:v>Apr-90</c:v>
                </c:pt>
                <c:pt idx="82">
                  <c:v>May-90</c:v>
                </c:pt>
                <c:pt idx="83">
                  <c:v>Jun-90</c:v>
                </c:pt>
                <c:pt idx="84">
                  <c:v>Jul-90</c:v>
                </c:pt>
                <c:pt idx="85">
                  <c:v>Aug-90</c:v>
                </c:pt>
                <c:pt idx="86">
                  <c:v>Sep-90</c:v>
                </c:pt>
                <c:pt idx="87">
                  <c:v>Oct-90</c:v>
                </c:pt>
                <c:pt idx="88">
                  <c:v>Nov-90</c:v>
                </c:pt>
                <c:pt idx="89">
                  <c:v>Dec-90</c:v>
                </c:pt>
                <c:pt idx="90">
                  <c:v>Jan-91</c:v>
                </c:pt>
                <c:pt idx="91">
                  <c:v>Feb-91</c:v>
                </c:pt>
                <c:pt idx="92">
                  <c:v>Mar-91</c:v>
                </c:pt>
                <c:pt idx="93">
                  <c:v>Apr-91</c:v>
                </c:pt>
                <c:pt idx="94">
                  <c:v>May-91</c:v>
                </c:pt>
                <c:pt idx="95">
                  <c:v>Jun-91</c:v>
                </c:pt>
                <c:pt idx="96">
                  <c:v>Jul-91</c:v>
                </c:pt>
                <c:pt idx="97">
                  <c:v>Aug-91</c:v>
                </c:pt>
                <c:pt idx="98">
                  <c:v>Sep-91</c:v>
                </c:pt>
                <c:pt idx="99">
                  <c:v>Oct-91</c:v>
                </c:pt>
                <c:pt idx="100">
                  <c:v>Nov-91</c:v>
                </c:pt>
                <c:pt idx="101">
                  <c:v>Dec-91</c:v>
                </c:pt>
                <c:pt idx="102">
                  <c:v>Jan-92</c:v>
                </c:pt>
                <c:pt idx="103">
                  <c:v>Feb-92</c:v>
                </c:pt>
                <c:pt idx="104">
                  <c:v>Mar-92</c:v>
                </c:pt>
                <c:pt idx="105">
                  <c:v>Apr-92</c:v>
                </c:pt>
                <c:pt idx="106">
                  <c:v>May-92</c:v>
                </c:pt>
                <c:pt idx="107">
                  <c:v>Jun-92</c:v>
                </c:pt>
                <c:pt idx="108">
                  <c:v>Jul-92</c:v>
                </c:pt>
                <c:pt idx="109">
                  <c:v>Aug-92</c:v>
                </c:pt>
                <c:pt idx="110">
                  <c:v>Sep-92</c:v>
                </c:pt>
                <c:pt idx="111">
                  <c:v>Oct-92</c:v>
                </c:pt>
                <c:pt idx="112">
                  <c:v>Nov-92</c:v>
                </c:pt>
                <c:pt idx="113">
                  <c:v>Dec-92</c:v>
                </c:pt>
                <c:pt idx="114">
                  <c:v>Jan-93</c:v>
                </c:pt>
                <c:pt idx="115">
                  <c:v>Feb-93</c:v>
                </c:pt>
                <c:pt idx="116">
                  <c:v>Mar-93</c:v>
                </c:pt>
                <c:pt idx="117">
                  <c:v>Apr-93</c:v>
                </c:pt>
                <c:pt idx="118">
                  <c:v>May-93</c:v>
                </c:pt>
                <c:pt idx="119">
                  <c:v>Jun-93</c:v>
                </c:pt>
                <c:pt idx="120">
                  <c:v>Jul-93</c:v>
                </c:pt>
                <c:pt idx="121">
                  <c:v>Aug-93</c:v>
                </c:pt>
                <c:pt idx="122">
                  <c:v>Sep-93</c:v>
                </c:pt>
                <c:pt idx="123">
                  <c:v>Oct-93</c:v>
                </c:pt>
                <c:pt idx="124">
                  <c:v>Nov-93</c:v>
                </c:pt>
                <c:pt idx="125">
                  <c:v>Dec-93</c:v>
                </c:pt>
                <c:pt idx="126">
                  <c:v>Jan-94</c:v>
                </c:pt>
                <c:pt idx="127">
                  <c:v>Feb-94</c:v>
                </c:pt>
                <c:pt idx="128">
                  <c:v>Mar-94</c:v>
                </c:pt>
                <c:pt idx="129">
                  <c:v>Apr-94</c:v>
                </c:pt>
                <c:pt idx="130">
                  <c:v>May-94</c:v>
                </c:pt>
                <c:pt idx="131">
                  <c:v>Jun-94</c:v>
                </c:pt>
                <c:pt idx="132">
                  <c:v>Jul-94</c:v>
                </c:pt>
                <c:pt idx="133">
                  <c:v>Aug-94</c:v>
                </c:pt>
                <c:pt idx="134">
                  <c:v>Sep-94</c:v>
                </c:pt>
                <c:pt idx="135">
                  <c:v>Oct-94</c:v>
                </c:pt>
                <c:pt idx="136">
                  <c:v>Nov-94</c:v>
                </c:pt>
                <c:pt idx="137">
                  <c:v>Dec-94</c:v>
                </c:pt>
                <c:pt idx="138">
                  <c:v>Jan-95</c:v>
                </c:pt>
                <c:pt idx="139">
                  <c:v>Feb-95</c:v>
                </c:pt>
                <c:pt idx="140">
                  <c:v>Mar-95</c:v>
                </c:pt>
                <c:pt idx="141">
                  <c:v>Apr-95</c:v>
                </c:pt>
                <c:pt idx="142">
                  <c:v>May-95</c:v>
                </c:pt>
                <c:pt idx="143">
                  <c:v>Jun-95</c:v>
                </c:pt>
                <c:pt idx="144">
                  <c:v>Jul-95</c:v>
                </c:pt>
                <c:pt idx="145">
                  <c:v>Aug-95</c:v>
                </c:pt>
                <c:pt idx="146">
                  <c:v>Sep-95</c:v>
                </c:pt>
                <c:pt idx="147">
                  <c:v>Oct-95</c:v>
                </c:pt>
                <c:pt idx="148">
                  <c:v>Nov-95</c:v>
                </c:pt>
                <c:pt idx="149">
                  <c:v>Dec-95</c:v>
                </c:pt>
                <c:pt idx="150">
                  <c:v>Jan-96</c:v>
                </c:pt>
                <c:pt idx="151">
                  <c:v>Feb-96</c:v>
                </c:pt>
                <c:pt idx="152">
                  <c:v>Mar-96</c:v>
                </c:pt>
                <c:pt idx="153">
                  <c:v>Apr-96</c:v>
                </c:pt>
                <c:pt idx="154">
                  <c:v>May-96</c:v>
                </c:pt>
                <c:pt idx="155">
                  <c:v>Jun-96</c:v>
                </c:pt>
                <c:pt idx="156">
                  <c:v>Jul-96</c:v>
                </c:pt>
                <c:pt idx="157">
                  <c:v>Aug-96</c:v>
                </c:pt>
              </c:strCache>
            </c:strRef>
          </c:cat>
          <c:val>
            <c:numRef>
              <c:f>標準差與幾何平均值!$P$2:$P$158</c:f>
              <c:numCache>
                <c:formatCode>General</c:formatCode>
                <c:ptCount val="157"/>
                <c:pt idx="0">
                  <c:v>1</c:v>
                </c:pt>
                <c:pt idx="1">
                  <c:v>1.0118</c:v>
                </c:pt>
                <c:pt idx="2">
                  <c:v>0.93126072000000004</c:v>
                </c:pt>
                <c:pt idx="3">
                  <c:v>0.908072328072</c:v>
                </c:pt>
                <c:pt idx="4">
                  <c:v>1.0166777785094112</c:v>
                </c:pt>
                <c:pt idx="5">
                  <c:v>0.90016650509223262</c:v>
                </c:pt>
                <c:pt idx="6">
                  <c:v>0.92888181660467484</c:v>
                </c:pt>
                <c:pt idx="7">
                  <c:v>0.93101824478286554</c:v>
                </c:pt>
                <c:pt idx="8">
                  <c:v>0.82823383055883715</c:v>
                </c:pt>
                <c:pt idx="9">
                  <c:v>0.80976421613737504</c:v>
                </c:pt>
                <c:pt idx="10">
                  <c:v>0.77696876538381132</c:v>
                </c:pt>
                <c:pt idx="11">
                  <c:v>0.73920808338615807</c:v>
                </c:pt>
                <c:pt idx="12">
                  <c:v>0.68635470542404775</c:v>
                </c:pt>
                <c:pt idx="13">
                  <c:v>0.71820156375572353</c:v>
                </c:pt>
                <c:pt idx="14">
                  <c:v>0.68739071667060292</c:v>
                </c:pt>
                <c:pt idx="15">
                  <c:v>0.68168537372223692</c:v>
                </c:pt>
                <c:pt idx="16">
                  <c:v>0.73826525974118251</c:v>
                </c:pt>
                <c:pt idx="17">
                  <c:v>0.67972082464370676</c:v>
                </c:pt>
                <c:pt idx="18">
                  <c:v>0.68461481458114148</c:v>
                </c:pt>
                <c:pt idx="19">
                  <c:v>0.71809247901415929</c:v>
                </c:pt>
                <c:pt idx="20">
                  <c:v>0.87535473191826008</c:v>
                </c:pt>
                <c:pt idx="21">
                  <c:v>0.85145754773689153</c:v>
                </c:pt>
                <c:pt idx="22">
                  <c:v>0.93617757373671218</c:v>
                </c:pt>
                <c:pt idx="23">
                  <c:v>0.87148770339150539</c:v>
                </c:pt>
                <c:pt idx="24">
                  <c:v>0.90251266563224308</c:v>
                </c:pt>
                <c:pt idx="25">
                  <c:v>0.92823427660276203</c:v>
                </c:pt>
                <c:pt idx="26">
                  <c:v>0.91700264185586866</c:v>
                </c:pt>
                <c:pt idx="27">
                  <c:v>0.97404020617930376</c:v>
                </c:pt>
                <c:pt idx="28">
                  <c:v>0.9894300414369368</c:v>
                </c:pt>
                <c:pt idx="29">
                  <c:v>1.0392973155253584</c:v>
                </c:pt>
                <c:pt idx="30">
                  <c:v>1.12379218727757</c:v>
                </c:pt>
                <c:pt idx="31">
                  <c:v>1.1422223791489221</c:v>
                </c:pt>
                <c:pt idx="32">
                  <c:v>1.2109841663736873</c:v>
                </c:pt>
                <c:pt idx="33">
                  <c:v>1.1649667680514872</c:v>
                </c:pt>
                <c:pt idx="34">
                  <c:v>1.2886862388185554</c:v>
                </c:pt>
                <c:pt idx="35">
                  <c:v>1.4364985504110437</c:v>
                </c:pt>
                <c:pt idx="36">
                  <c:v>1.3922543950583834</c:v>
                </c:pt>
                <c:pt idx="37">
                  <c:v>1.2427262730291131</c:v>
                </c:pt>
                <c:pt idx="38">
                  <c:v>1.0436415240898491</c:v>
                </c:pt>
                <c:pt idx="39">
                  <c:v>1.1127305929845972</c:v>
                </c:pt>
                <c:pt idx="40">
                  <c:v>1.168367122633827</c:v>
                </c:pt>
                <c:pt idx="41">
                  <c:v>1.1538793703131676</c:v>
                </c:pt>
                <c:pt idx="42">
                  <c:v>1.3133454992904472</c:v>
                </c:pt>
                <c:pt idx="43">
                  <c:v>1.2974540187490329</c:v>
                </c:pt>
                <c:pt idx="44">
                  <c:v>1.1850945007253666</c:v>
                </c:pt>
                <c:pt idx="45">
                  <c:v>1.1278544363403313</c:v>
                </c:pt>
                <c:pt idx="46">
                  <c:v>1.0772137721486503</c:v>
                </c:pt>
                <c:pt idx="47">
                  <c:v>1.0921870435815166</c:v>
                </c:pt>
                <c:pt idx="48">
                  <c:v>0.93469367189706198</c:v>
                </c:pt>
                <c:pt idx="49">
                  <c:v>0.97516590789020463</c:v>
                </c:pt>
                <c:pt idx="50">
                  <c:v>1.0225589710136687</c:v>
                </c:pt>
                <c:pt idx="51">
                  <c:v>1.0241950653672907</c:v>
                </c:pt>
                <c:pt idx="52">
                  <c:v>0.91593764695796798</c:v>
                </c:pt>
                <c:pt idx="53">
                  <c:v>0.8559437310822211</c:v>
                </c:pt>
                <c:pt idx="54">
                  <c:v>0.90165112632201161</c:v>
                </c:pt>
                <c:pt idx="55">
                  <c:v>0.98198824167730281</c:v>
                </c:pt>
                <c:pt idx="56">
                  <c:v>1.051807605660559</c:v>
                </c:pt>
                <c:pt idx="57">
                  <c:v>1.0440242293786708</c:v>
                </c:pt>
                <c:pt idx="58">
                  <c:v>1.2082492406599357</c:v>
                </c:pt>
                <c:pt idx="59">
                  <c:v>1.0454980679430423</c:v>
                </c:pt>
                <c:pt idx="60">
                  <c:v>1.1640575488477833</c:v>
                </c:pt>
                <c:pt idx="61">
                  <c:v>1.0843196067517102</c:v>
                </c:pt>
                <c:pt idx="62">
                  <c:v>1.120861177499243</c:v>
                </c:pt>
                <c:pt idx="63">
                  <c:v>1.1016944513640059</c:v>
                </c:pt>
                <c:pt idx="64">
                  <c:v>1.2055842381276316</c:v>
                </c:pt>
                <c:pt idx="65">
                  <c:v>1.3905208602564103</c:v>
                </c:pt>
                <c:pt idx="66">
                  <c:v>1.3464413489862821</c:v>
                </c:pt>
                <c:pt idx="67">
                  <c:v>1.4062233448812731</c:v>
                </c:pt>
                <c:pt idx="68">
                  <c:v>1.25252313328575</c:v>
                </c:pt>
                <c:pt idx="69">
                  <c:v>1.2756948112515363</c:v>
                </c:pt>
                <c:pt idx="70">
                  <c:v>1.1795074224831703</c:v>
                </c:pt>
                <c:pt idx="71">
                  <c:v>1.1580403873939766</c:v>
                </c:pt>
                <c:pt idx="72">
                  <c:v>1.0869367076079866</c:v>
                </c:pt>
                <c:pt idx="73">
                  <c:v>0.88259260657768512</c:v>
                </c:pt>
                <c:pt idx="74">
                  <c:v>0.79115601253623691</c:v>
                </c:pt>
                <c:pt idx="75">
                  <c:v>0.75017413108685982</c:v>
                </c:pt>
                <c:pt idx="76">
                  <c:v>0.67628197917480415</c:v>
                </c:pt>
                <c:pt idx="77">
                  <c:v>0.8471108071143596</c:v>
                </c:pt>
                <c:pt idx="78">
                  <c:v>0.80975322052061627</c:v>
                </c:pt>
                <c:pt idx="79">
                  <c:v>0.82732486540591366</c:v>
                </c:pt>
                <c:pt idx="80">
                  <c:v>0.76792294006976902</c:v>
                </c:pt>
                <c:pt idx="81">
                  <c:v>0.72046530237345729</c:v>
                </c:pt>
                <c:pt idx="82">
                  <c:v>0.69683404045560793</c:v>
                </c:pt>
                <c:pt idx="83">
                  <c:v>0.62115786366212888</c:v>
                </c:pt>
                <c:pt idx="84">
                  <c:v>0.64345743096759933</c:v>
                </c:pt>
                <c:pt idx="85">
                  <c:v>0.51894841807536884</c:v>
                </c:pt>
                <c:pt idx="86">
                  <c:v>0.55698733712029336</c:v>
                </c:pt>
                <c:pt idx="87">
                  <c:v>0.6336844934417577</c:v>
                </c:pt>
                <c:pt idx="88">
                  <c:v>0.79210561680219715</c:v>
                </c:pt>
                <c:pt idx="89">
                  <c:v>0.83788932145336426</c:v>
                </c:pt>
                <c:pt idx="90">
                  <c:v>0.81275264180976325</c:v>
                </c:pt>
                <c:pt idx="91">
                  <c:v>0.88004856055161162</c:v>
                </c:pt>
                <c:pt idx="92">
                  <c:v>0.86552775930251002</c:v>
                </c:pt>
                <c:pt idx="93">
                  <c:v>0.80987432437935858</c:v>
                </c:pt>
                <c:pt idx="94">
                  <c:v>0.73536588653645762</c:v>
                </c:pt>
                <c:pt idx="95">
                  <c:v>0.70492173883384823</c:v>
                </c:pt>
                <c:pt idx="96">
                  <c:v>0.67989701710524664</c:v>
                </c:pt>
                <c:pt idx="97">
                  <c:v>0.59810540594748551</c:v>
                </c:pt>
                <c:pt idx="98">
                  <c:v>0.65337034545703321</c:v>
                </c:pt>
                <c:pt idx="99">
                  <c:v>0.66304022656979722</c:v>
                </c:pt>
                <c:pt idx="100">
                  <c:v>0.6353251450991797</c:v>
                </c:pt>
                <c:pt idx="101">
                  <c:v>0.71563024343971604</c:v>
                </c:pt>
                <c:pt idx="102">
                  <c:v>0.63247400915202101</c:v>
                </c:pt>
                <c:pt idx="103">
                  <c:v>0.61659891152230528</c:v>
                </c:pt>
                <c:pt idx="104">
                  <c:v>0.59187329517026077</c:v>
                </c:pt>
                <c:pt idx="105">
                  <c:v>0.6500544400854974</c:v>
                </c:pt>
                <c:pt idx="106">
                  <c:v>0.69516821822743091</c:v>
                </c:pt>
                <c:pt idx="107">
                  <c:v>0.75884562701706348</c:v>
                </c:pt>
                <c:pt idx="108">
                  <c:v>0.80627347870562993</c:v>
                </c:pt>
                <c:pt idx="109">
                  <c:v>0.80062956435469057</c:v>
                </c:pt>
                <c:pt idx="110">
                  <c:v>0.86251822967930813</c:v>
                </c:pt>
                <c:pt idx="111">
                  <c:v>0.82353240569780339</c:v>
                </c:pt>
                <c:pt idx="112">
                  <c:v>0.84049717325517814</c:v>
                </c:pt>
                <c:pt idx="113">
                  <c:v>0.90967009061407933</c:v>
                </c:pt>
                <c:pt idx="114">
                  <c:v>0.96315869194218717</c:v>
                </c:pt>
                <c:pt idx="115">
                  <c:v>0.93060392815454118</c:v>
                </c:pt>
                <c:pt idx="116">
                  <c:v>0.87290648460895959</c:v>
                </c:pt>
                <c:pt idx="117">
                  <c:v>0.85291692611141434</c:v>
                </c:pt>
                <c:pt idx="118">
                  <c:v>0.83312925342562949</c:v>
                </c:pt>
                <c:pt idx="119">
                  <c:v>0.77339388595501191</c:v>
                </c:pt>
                <c:pt idx="120">
                  <c:v>0.82258173710175075</c:v>
                </c:pt>
                <c:pt idx="121">
                  <c:v>0.83401562324746514</c:v>
                </c:pt>
                <c:pt idx="122">
                  <c:v>0.81408264985185075</c:v>
                </c:pt>
                <c:pt idx="123">
                  <c:v>0.83386485824325074</c:v>
                </c:pt>
                <c:pt idx="124">
                  <c:v>0.87597503358453488</c:v>
                </c:pt>
                <c:pt idx="125">
                  <c:v>0.85521442528858138</c:v>
                </c:pt>
                <c:pt idx="126">
                  <c:v>0.8856600588288549</c:v>
                </c:pt>
                <c:pt idx="127">
                  <c:v>0.85687610691691718</c:v>
                </c:pt>
                <c:pt idx="128">
                  <c:v>0.8300558847704177</c:v>
                </c:pt>
                <c:pt idx="129">
                  <c:v>0.8576967457332727</c:v>
                </c:pt>
                <c:pt idx="130">
                  <c:v>0.89054653109485704</c:v>
                </c:pt>
                <c:pt idx="131">
                  <c:v>0.9005206522431195</c:v>
                </c:pt>
                <c:pt idx="132">
                  <c:v>0.86080769147919789</c:v>
                </c:pt>
                <c:pt idx="133">
                  <c:v>0.87294507992905457</c:v>
                </c:pt>
                <c:pt idx="134">
                  <c:v>0.82240155980116236</c:v>
                </c:pt>
                <c:pt idx="135">
                  <c:v>0.88506855865801093</c:v>
                </c:pt>
                <c:pt idx="136">
                  <c:v>0.93427837051939644</c:v>
                </c:pt>
                <c:pt idx="137">
                  <c:v>0.93194267459309799</c:v>
                </c:pt>
                <c:pt idx="138">
                  <c:v>0.9361364166287669</c:v>
                </c:pt>
                <c:pt idx="139">
                  <c:v>0.94362550796179701</c:v>
                </c:pt>
                <c:pt idx="140">
                  <c:v>1.0231731382829765</c:v>
                </c:pt>
                <c:pt idx="141">
                  <c:v>0.97682339511875771</c:v>
                </c:pt>
                <c:pt idx="142">
                  <c:v>0.9565054685002875</c:v>
                </c:pt>
                <c:pt idx="143">
                  <c:v>0.92082781452522677</c:v>
                </c:pt>
                <c:pt idx="144">
                  <c:v>0.94329601319964229</c:v>
                </c:pt>
                <c:pt idx="145">
                  <c:v>0.98197114974082755</c:v>
                </c:pt>
                <c:pt idx="146">
                  <c:v>1.0017087698506182</c:v>
                </c:pt>
                <c:pt idx="147">
                  <c:v>1.0796417121449964</c:v>
                </c:pt>
                <c:pt idx="148">
                  <c:v>1.1161336020154973</c:v>
                </c:pt>
                <c:pt idx="149">
                  <c:v>1.0983870777434508</c:v>
                </c:pt>
                <c:pt idx="150">
                  <c:v>1.1272746578881034</c:v>
                </c:pt>
                <c:pt idx="151">
                  <c:v>1.1247946536407496</c:v>
                </c:pt>
                <c:pt idx="152">
                  <c:v>1.1235573795217448</c:v>
                </c:pt>
                <c:pt idx="153">
                  <c:v>1.1619830419013886</c:v>
                </c:pt>
                <c:pt idx="154">
                  <c:v>1.2672587054976543</c:v>
                </c:pt>
                <c:pt idx="155">
                  <c:v>1.3249189765977978</c:v>
                </c:pt>
                <c:pt idx="156">
                  <c:v>1.2813291422677302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2A-498C-9386-D72E300A9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351551"/>
        <c:axId val="2056352799"/>
      </c:lineChart>
      <c:catAx>
        <c:axId val="205635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6352799"/>
        <c:crosses val="autoZero"/>
        <c:auto val="1"/>
        <c:lblAlgn val="ctr"/>
        <c:lblOffset val="100"/>
        <c:noMultiLvlLbl val="0"/>
      </c:catAx>
      <c:valAx>
        <c:axId val="205635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635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920028230214631E-2"/>
          <c:y val="7.1252343457067852E-2"/>
          <c:w val="0.15575578096674647"/>
          <c:h val="0.33088466882816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162</xdr:row>
      <xdr:rowOff>0</xdr:rowOff>
    </xdr:from>
    <xdr:to>
      <xdr:col>16</xdr:col>
      <xdr:colOff>375920</xdr:colOff>
      <xdr:row>184</xdr:row>
      <xdr:rowOff>7620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1"/>
  <sheetViews>
    <sheetView tabSelected="1" topLeftCell="A159" zoomScaleNormal="100" workbookViewId="0">
      <selection activeCell="R173" sqref="R173"/>
    </sheetView>
  </sheetViews>
  <sheetFormatPr defaultRowHeight="16.2"/>
  <cols>
    <col min="1" max="1" width="14.88671875" style="1" customWidth="1"/>
    <col min="2" max="8" width="9" style="1" customWidth="1"/>
    <col min="9" max="9" width="15.44140625" style="1" customWidth="1"/>
    <col min="10" max="16" width="8.6640625" customWidth="1"/>
  </cols>
  <sheetData>
    <row r="1" spans="1:17">
      <c r="A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/>
    </row>
    <row r="2" spans="1:17">
      <c r="A2" s="4">
        <v>30529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7">
      <c r="A3" s="4">
        <v>30560</v>
      </c>
      <c r="B3">
        <v>7.69</v>
      </c>
      <c r="C3">
        <v>-1.77</v>
      </c>
      <c r="D3">
        <v>-8.65</v>
      </c>
      <c r="E3">
        <v>90</v>
      </c>
      <c r="F3">
        <v>-6.67</v>
      </c>
      <c r="G3">
        <v>0.86</v>
      </c>
      <c r="H3">
        <v>1.18</v>
      </c>
      <c r="J3">
        <f t="shared" ref="J3:J34" si="0">J2*(1+B3/100)</f>
        <v>1.0769</v>
      </c>
      <c r="K3">
        <f t="shared" ref="K3:K34" si="1">K2*(1+C3/100)</f>
        <v>0.98229999999999995</v>
      </c>
      <c r="L3">
        <f t="shared" ref="L3:L34" si="2">L2*(1+D3/100)</f>
        <v>0.91349999999999998</v>
      </c>
      <c r="M3">
        <f t="shared" ref="M3:M34" si="3">M2*(1+E3/100)</f>
        <v>1.9</v>
      </c>
      <c r="N3">
        <f t="shared" ref="N3:N34" si="4">N2*(1+F3/100)</f>
        <v>0.93330000000000002</v>
      </c>
      <c r="O3">
        <f t="shared" ref="O3:O34" si="5">O2*(1+G3/100)</f>
        <v>1.0085999999999999</v>
      </c>
      <c r="P3">
        <f t="shared" ref="P3:P34" si="6">P2*(1+H3/100)</f>
        <v>1.0118</v>
      </c>
    </row>
    <row r="4" spans="1:17">
      <c r="A4" s="4">
        <v>30590</v>
      </c>
      <c r="B4">
        <v>-10.71</v>
      </c>
      <c r="C4">
        <v>-5.76</v>
      </c>
      <c r="D4">
        <v>-8.33</v>
      </c>
      <c r="E4">
        <v>-5.26</v>
      </c>
      <c r="F4">
        <v>6.12</v>
      </c>
      <c r="G4">
        <v>-9.98</v>
      </c>
      <c r="H4">
        <v>-7.96</v>
      </c>
      <c r="J4">
        <f t="shared" si="0"/>
        <v>0.96156401000000002</v>
      </c>
      <c r="K4">
        <f t="shared" si="1"/>
        <v>0.92571952000000002</v>
      </c>
      <c r="L4">
        <f t="shared" si="2"/>
        <v>0.83740545</v>
      </c>
      <c r="M4">
        <f t="shared" si="3"/>
        <v>1.80006</v>
      </c>
      <c r="N4">
        <f t="shared" si="4"/>
        <v>0.99041795999999993</v>
      </c>
      <c r="O4">
        <f t="shared" si="5"/>
        <v>0.90794171999999995</v>
      </c>
      <c r="P4">
        <f t="shared" si="6"/>
        <v>0.93126072000000004</v>
      </c>
    </row>
    <row r="5" spans="1:17">
      <c r="A5" s="4">
        <v>30621</v>
      </c>
      <c r="B5">
        <v>-4</v>
      </c>
      <c r="C5">
        <v>-2.79</v>
      </c>
      <c r="D5">
        <v>-0.83</v>
      </c>
      <c r="E5">
        <v>-1.85</v>
      </c>
      <c r="F5">
        <v>4.33</v>
      </c>
      <c r="G5">
        <v>-6.37</v>
      </c>
      <c r="H5">
        <v>-2.4900000000000002</v>
      </c>
      <c r="J5">
        <f t="shared" si="0"/>
        <v>0.92310144959999996</v>
      </c>
      <c r="K5">
        <f t="shared" si="1"/>
        <v>0.89989194539200001</v>
      </c>
      <c r="L5">
        <f t="shared" si="2"/>
        <v>0.83045498476500001</v>
      </c>
      <c r="M5">
        <f t="shared" si="3"/>
        <v>1.76675889</v>
      </c>
      <c r="N5">
        <f t="shared" si="4"/>
        <v>1.0333030576679998</v>
      </c>
      <c r="O5">
        <f t="shared" si="5"/>
        <v>0.85010583243600002</v>
      </c>
      <c r="P5">
        <f t="shared" si="6"/>
        <v>0.908072328072</v>
      </c>
    </row>
    <row r="6" spans="1:17">
      <c r="A6" s="4">
        <v>30651</v>
      </c>
      <c r="B6">
        <v>9.3699999999999992</v>
      </c>
      <c r="C6">
        <v>33.200000000000003</v>
      </c>
      <c r="D6">
        <v>4.17</v>
      </c>
      <c r="E6">
        <v>-1.26</v>
      </c>
      <c r="F6">
        <v>5.53</v>
      </c>
      <c r="G6">
        <v>12.09</v>
      </c>
      <c r="H6">
        <v>11.96</v>
      </c>
      <c r="J6">
        <f t="shared" si="0"/>
        <v>1.0095960554275198</v>
      </c>
      <c r="K6">
        <f t="shared" si="1"/>
        <v>1.1986560712621441</v>
      </c>
      <c r="L6">
        <f t="shared" si="2"/>
        <v>0.86508495762970061</v>
      </c>
      <c r="M6">
        <f t="shared" si="3"/>
        <v>1.7444977279860001</v>
      </c>
      <c r="N6">
        <f t="shared" si="4"/>
        <v>1.0904447167570401</v>
      </c>
      <c r="O6">
        <f t="shared" si="5"/>
        <v>0.95288362757751244</v>
      </c>
      <c r="P6">
        <f t="shared" si="6"/>
        <v>1.0166777785094112</v>
      </c>
    </row>
    <row r="7" spans="1:17">
      <c r="A7" s="4">
        <v>30682</v>
      </c>
      <c r="B7">
        <v>0</v>
      </c>
      <c r="C7">
        <v>-16.309999999999999</v>
      </c>
      <c r="D7">
        <v>-18</v>
      </c>
      <c r="E7">
        <v>-10.19</v>
      </c>
      <c r="F7">
        <v>-23.58</v>
      </c>
      <c r="G7">
        <v>-6.74</v>
      </c>
      <c r="H7">
        <v>-11.46</v>
      </c>
      <c r="J7">
        <f t="shared" si="0"/>
        <v>1.0095960554275198</v>
      </c>
      <c r="K7">
        <f t="shared" si="1"/>
        <v>1.0031552660392884</v>
      </c>
      <c r="L7">
        <f t="shared" si="2"/>
        <v>0.70936966525635459</v>
      </c>
      <c r="M7">
        <f t="shared" si="3"/>
        <v>1.5667334095042267</v>
      </c>
      <c r="N7">
        <f t="shared" si="4"/>
        <v>0.8333178525457301</v>
      </c>
      <c r="O7">
        <f t="shared" si="5"/>
        <v>0.88865927107878806</v>
      </c>
      <c r="P7">
        <f t="shared" si="6"/>
        <v>0.90016650509223262</v>
      </c>
    </row>
    <row r="8" spans="1:17">
      <c r="A8" s="4">
        <v>30713</v>
      </c>
      <c r="B8">
        <v>5.71</v>
      </c>
      <c r="C8">
        <v>2.21</v>
      </c>
      <c r="D8">
        <v>6.34</v>
      </c>
      <c r="E8">
        <v>9.93</v>
      </c>
      <c r="F8">
        <v>4.57</v>
      </c>
      <c r="G8">
        <v>-1.2</v>
      </c>
      <c r="H8">
        <v>3.19</v>
      </c>
      <c r="J8">
        <f t="shared" si="0"/>
        <v>1.0672439901924311</v>
      </c>
      <c r="K8">
        <f t="shared" si="1"/>
        <v>1.0253249974187566</v>
      </c>
      <c r="L8">
        <f t="shared" si="2"/>
        <v>0.75434370203360734</v>
      </c>
      <c r="M8">
        <f t="shared" si="3"/>
        <v>1.7223100370679962</v>
      </c>
      <c r="N8">
        <f t="shared" si="4"/>
        <v>0.87140047840707002</v>
      </c>
      <c r="O8">
        <f t="shared" si="5"/>
        <v>0.87799535982584265</v>
      </c>
      <c r="P8">
        <f t="shared" si="6"/>
        <v>0.92888181660467484</v>
      </c>
    </row>
    <row r="9" spans="1:17">
      <c r="A9" s="4">
        <v>30742</v>
      </c>
      <c r="B9">
        <v>-3.6</v>
      </c>
      <c r="C9">
        <v>-2.16</v>
      </c>
      <c r="D9">
        <v>18.350000000000001</v>
      </c>
      <c r="E9">
        <v>21.29</v>
      </c>
      <c r="F9">
        <v>24.59</v>
      </c>
      <c r="G9">
        <v>0.49</v>
      </c>
      <c r="H9">
        <v>0.23</v>
      </c>
      <c r="J9">
        <f t="shared" si="0"/>
        <v>1.0288232065455036</v>
      </c>
      <c r="K9">
        <f t="shared" si="1"/>
        <v>1.0031779774745115</v>
      </c>
      <c r="L9">
        <f t="shared" si="2"/>
        <v>0.89276577135677426</v>
      </c>
      <c r="M9">
        <f t="shared" si="3"/>
        <v>2.0889898439597725</v>
      </c>
      <c r="N9">
        <f t="shared" si="4"/>
        <v>1.0856778560473686</v>
      </c>
      <c r="O9">
        <f t="shared" si="5"/>
        <v>0.88229753708898917</v>
      </c>
      <c r="P9">
        <f t="shared" si="6"/>
        <v>0.93101824478286554</v>
      </c>
    </row>
    <row r="10" spans="1:17">
      <c r="A10" s="4">
        <v>30773</v>
      </c>
      <c r="B10">
        <v>-9.35</v>
      </c>
      <c r="C10">
        <v>-10.66</v>
      </c>
      <c r="D10">
        <v>-1.55</v>
      </c>
      <c r="E10">
        <v>-7.45</v>
      </c>
      <c r="F10">
        <v>0.88</v>
      </c>
      <c r="G10">
        <v>-10.19</v>
      </c>
      <c r="H10">
        <v>-11.04</v>
      </c>
      <c r="J10">
        <f t="shared" si="0"/>
        <v>0.93262823673349904</v>
      </c>
      <c r="K10">
        <f t="shared" si="1"/>
        <v>0.89623920507572863</v>
      </c>
      <c r="L10">
        <f t="shared" si="2"/>
        <v>0.87892790190074432</v>
      </c>
      <c r="M10">
        <f t="shared" si="3"/>
        <v>1.9333601005847694</v>
      </c>
      <c r="N10">
        <f t="shared" si="4"/>
        <v>1.0952318211805854</v>
      </c>
      <c r="O10">
        <f t="shared" si="5"/>
        <v>0.79239141805962121</v>
      </c>
      <c r="P10">
        <f t="shared" si="6"/>
        <v>0.82823383055883715</v>
      </c>
    </row>
    <row r="11" spans="1:17">
      <c r="A11" s="4">
        <v>30803</v>
      </c>
      <c r="B11">
        <v>-1.63</v>
      </c>
      <c r="C11">
        <v>-0.82</v>
      </c>
      <c r="D11">
        <v>0</v>
      </c>
      <c r="E11">
        <v>7.47</v>
      </c>
      <c r="F11">
        <v>1.74</v>
      </c>
      <c r="G11">
        <v>-5.14</v>
      </c>
      <c r="H11">
        <v>-2.23</v>
      </c>
      <c r="J11">
        <f t="shared" si="0"/>
        <v>0.917426396474743</v>
      </c>
      <c r="K11">
        <f t="shared" si="1"/>
        <v>0.88889004359410762</v>
      </c>
      <c r="L11">
        <f t="shared" si="2"/>
        <v>0.87892790190074432</v>
      </c>
      <c r="M11">
        <f t="shared" si="3"/>
        <v>2.0777821000984518</v>
      </c>
      <c r="N11">
        <f t="shared" si="4"/>
        <v>1.1142888548691277</v>
      </c>
      <c r="O11">
        <f t="shared" si="5"/>
        <v>0.75166249917135664</v>
      </c>
      <c r="P11">
        <f t="shared" si="6"/>
        <v>0.80976421613737504</v>
      </c>
    </row>
    <row r="12" spans="1:17">
      <c r="A12" s="4">
        <v>30834</v>
      </c>
      <c r="B12">
        <v>3.21</v>
      </c>
      <c r="C12">
        <v>-3.32</v>
      </c>
      <c r="D12">
        <v>4.33</v>
      </c>
      <c r="E12">
        <v>20.8</v>
      </c>
      <c r="F12">
        <v>0.43</v>
      </c>
      <c r="G12">
        <v>-4.62</v>
      </c>
      <c r="H12">
        <v>-4.05</v>
      </c>
      <c r="J12">
        <f t="shared" si="0"/>
        <v>0.94687578380158222</v>
      </c>
      <c r="K12">
        <f t="shared" si="1"/>
        <v>0.85937889414678326</v>
      </c>
      <c r="L12">
        <f t="shared" si="2"/>
        <v>0.91698548005304648</v>
      </c>
      <c r="M12">
        <f t="shared" si="3"/>
        <v>2.5099607769189296</v>
      </c>
      <c r="N12">
        <f t="shared" si="4"/>
        <v>1.1190802969450648</v>
      </c>
      <c r="O12">
        <f t="shared" si="5"/>
        <v>0.71693569170964</v>
      </c>
      <c r="P12">
        <f t="shared" si="6"/>
        <v>0.77696876538381132</v>
      </c>
    </row>
    <row r="13" spans="1:17">
      <c r="A13" s="4">
        <v>30864</v>
      </c>
      <c r="B13">
        <v>-6.12</v>
      </c>
      <c r="C13">
        <v>-4.29</v>
      </c>
      <c r="D13">
        <v>-9.43</v>
      </c>
      <c r="E13">
        <v>-17.93</v>
      </c>
      <c r="F13">
        <v>-20</v>
      </c>
      <c r="G13">
        <v>10.55</v>
      </c>
      <c r="H13">
        <v>-4.8600000000000003</v>
      </c>
      <c r="J13">
        <f t="shared" si="0"/>
        <v>0.8889269858329254</v>
      </c>
      <c r="K13">
        <f t="shared" si="1"/>
        <v>0.82251153958788625</v>
      </c>
      <c r="L13">
        <f t="shared" si="2"/>
        <v>0.8305137492840442</v>
      </c>
      <c r="M13">
        <f t="shared" si="3"/>
        <v>2.0599248096173657</v>
      </c>
      <c r="N13">
        <f t="shared" si="4"/>
        <v>0.89526423755605189</v>
      </c>
      <c r="O13">
        <f t="shared" si="5"/>
        <v>0.79257240718500699</v>
      </c>
      <c r="P13">
        <f t="shared" si="6"/>
        <v>0.73920808338615807</v>
      </c>
    </row>
    <row r="14" spans="1:17">
      <c r="A14" s="4">
        <v>30895</v>
      </c>
      <c r="B14">
        <v>-14.36</v>
      </c>
      <c r="C14">
        <v>-5.83</v>
      </c>
      <c r="D14">
        <v>-7.11</v>
      </c>
      <c r="E14">
        <v>2.4300000000000002</v>
      </c>
      <c r="F14">
        <v>4.26</v>
      </c>
      <c r="G14">
        <v>-2.2999999999999998</v>
      </c>
      <c r="H14">
        <v>-7.15</v>
      </c>
      <c r="J14">
        <f t="shared" si="0"/>
        <v>0.76127707066731731</v>
      </c>
      <c r="K14">
        <f t="shared" si="1"/>
        <v>0.77455911682991252</v>
      </c>
      <c r="L14">
        <f t="shared" si="2"/>
        <v>0.77146422170994866</v>
      </c>
      <c r="M14">
        <f t="shared" si="3"/>
        <v>2.1099809824910678</v>
      </c>
      <c r="N14">
        <f t="shared" si="4"/>
        <v>0.93340249407593967</v>
      </c>
      <c r="O14">
        <f t="shared" si="5"/>
        <v>0.77434324181975178</v>
      </c>
      <c r="P14">
        <f t="shared" si="6"/>
        <v>0.68635470542404775</v>
      </c>
    </row>
    <row r="15" spans="1:17">
      <c r="A15" s="4">
        <v>30926</v>
      </c>
      <c r="B15">
        <v>1.45</v>
      </c>
      <c r="C15">
        <v>2.38</v>
      </c>
      <c r="D15">
        <v>0</v>
      </c>
      <c r="E15">
        <v>-7.11</v>
      </c>
      <c r="F15">
        <v>21.43</v>
      </c>
      <c r="G15">
        <v>4.71</v>
      </c>
      <c r="H15">
        <v>4.6399999999999997</v>
      </c>
      <c r="J15">
        <f t="shared" si="0"/>
        <v>0.77231558819199342</v>
      </c>
      <c r="K15">
        <f t="shared" si="1"/>
        <v>0.79299362381046445</v>
      </c>
      <c r="L15">
        <f t="shared" si="2"/>
        <v>0.77146422170994866</v>
      </c>
      <c r="M15">
        <f t="shared" si="3"/>
        <v>1.959961334635953</v>
      </c>
      <c r="N15">
        <f t="shared" si="4"/>
        <v>1.1334306485564134</v>
      </c>
      <c r="O15">
        <f t="shared" si="5"/>
        <v>0.81081480850946208</v>
      </c>
      <c r="P15">
        <f t="shared" si="6"/>
        <v>0.71820156375572353</v>
      </c>
    </row>
    <row r="16" spans="1:17">
      <c r="A16" s="4">
        <v>30956</v>
      </c>
      <c r="B16">
        <v>-8.5500000000000007</v>
      </c>
      <c r="C16">
        <v>-0.93</v>
      </c>
      <c r="D16">
        <v>-10.81</v>
      </c>
      <c r="E16">
        <v>-14.29</v>
      </c>
      <c r="F16">
        <v>-2.94</v>
      </c>
      <c r="G16">
        <v>-6.11</v>
      </c>
      <c r="H16">
        <v>-4.29</v>
      </c>
      <c r="J16">
        <f t="shared" si="0"/>
        <v>0.70628260540157795</v>
      </c>
      <c r="K16">
        <f t="shared" si="1"/>
        <v>0.78561878310902711</v>
      </c>
      <c r="L16">
        <f t="shared" si="2"/>
        <v>0.6880689393431032</v>
      </c>
      <c r="M16">
        <f t="shared" si="3"/>
        <v>1.6798828599164752</v>
      </c>
      <c r="N16">
        <f t="shared" si="4"/>
        <v>1.100107787488855</v>
      </c>
      <c r="O16">
        <f t="shared" si="5"/>
        <v>0.7612740237095339</v>
      </c>
      <c r="P16">
        <f t="shared" si="6"/>
        <v>0.68739071667060292</v>
      </c>
    </row>
    <row r="17" spans="1:16">
      <c r="A17" s="4">
        <v>30987</v>
      </c>
      <c r="B17">
        <v>0.62</v>
      </c>
      <c r="C17">
        <v>-6.82</v>
      </c>
      <c r="D17">
        <v>-3.03</v>
      </c>
      <c r="E17">
        <v>-1.19</v>
      </c>
      <c r="F17">
        <v>-20.260000000000002</v>
      </c>
      <c r="G17">
        <v>0</v>
      </c>
      <c r="H17">
        <v>-0.83</v>
      </c>
      <c r="J17">
        <f t="shared" si="0"/>
        <v>0.71066155755506777</v>
      </c>
      <c r="K17">
        <f t="shared" si="1"/>
        <v>0.7320395821009914</v>
      </c>
      <c r="L17">
        <f t="shared" si="2"/>
        <v>0.6672204504810072</v>
      </c>
      <c r="M17">
        <f t="shared" si="3"/>
        <v>1.6598922538834691</v>
      </c>
      <c r="N17">
        <f t="shared" si="4"/>
        <v>0.8772259497436129</v>
      </c>
      <c r="O17">
        <f t="shared" si="5"/>
        <v>0.7612740237095339</v>
      </c>
      <c r="P17">
        <f t="shared" si="6"/>
        <v>0.68168537372223692</v>
      </c>
    </row>
    <row r="18" spans="1:16">
      <c r="A18" s="4">
        <v>31017</v>
      </c>
      <c r="B18">
        <v>14.55</v>
      </c>
      <c r="C18">
        <v>18.38</v>
      </c>
      <c r="D18">
        <v>6.25</v>
      </c>
      <c r="E18">
        <v>2.41</v>
      </c>
      <c r="F18">
        <v>18.55</v>
      </c>
      <c r="G18">
        <v>17.809999999999999</v>
      </c>
      <c r="H18">
        <v>8.3000000000000007</v>
      </c>
      <c r="J18">
        <f t="shared" si="0"/>
        <v>0.81406281417933013</v>
      </c>
      <c r="K18">
        <f t="shared" si="1"/>
        <v>0.86658845729115364</v>
      </c>
      <c r="L18">
        <f t="shared" si="2"/>
        <v>0.70892172863607017</v>
      </c>
      <c r="M18">
        <f t="shared" si="3"/>
        <v>1.6998956572020607</v>
      </c>
      <c r="N18">
        <f t="shared" si="4"/>
        <v>1.0399513634210531</v>
      </c>
      <c r="O18">
        <f t="shared" si="5"/>
        <v>0.89685692733220179</v>
      </c>
      <c r="P18">
        <f t="shared" si="6"/>
        <v>0.73826525974118251</v>
      </c>
    </row>
    <row r="19" spans="1:16">
      <c r="A19" s="4">
        <v>31048</v>
      </c>
      <c r="B19">
        <v>-4.8600000000000003</v>
      </c>
      <c r="C19">
        <v>-8.68</v>
      </c>
      <c r="D19">
        <v>-11.03</v>
      </c>
      <c r="E19">
        <v>-10</v>
      </c>
      <c r="F19">
        <v>-15.65</v>
      </c>
      <c r="G19">
        <v>-9.01</v>
      </c>
      <c r="H19">
        <v>-7.93</v>
      </c>
      <c r="J19">
        <f t="shared" si="0"/>
        <v>0.77449936141021469</v>
      </c>
      <c r="K19">
        <f t="shared" si="1"/>
        <v>0.79136857919828152</v>
      </c>
      <c r="L19">
        <f t="shared" si="2"/>
        <v>0.63072766196751162</v>
      </c>
      <c r="M19">
        <f t="shared" si="3"/>
        <v>1.5299060914818547</v>
      </c>
      <c r="N19">
        <f t="shared" si="4"/>
        <v>0.87719897504565836</v>
      </c>
      <c r="O19">
        <f t="shared" si="5"/>
        <v>0.81605011817957041</v>
      </c>
      <c r="P19">
        <f t="shared" si="6"/>
        <v>0.67972082464370676</v>
      </c>
    </row>
    <row r="20" spans="1:16">
      <c r="A20" s="4">
        <v>31079</v>
      </c>
      <c r="B20">
        <v>7.39</v>
      </c>
      <c r="C20">
        <v>1</v>
      </c>
      <c r="D20">
        <v>1.65</v>
      </c>
      <c r="E20">
        <v>1.31</v>
      </c>
      <c r="F20">
        <v>-20.97</v>
      </c>
      <c r="G20">
        <v>7.99</v>
      </c>
      <c r="H20">
        <v>0.72</v>
      </c>
      <c r="J20">
        <f t="shared" si="0"/>
        <v>0.83173486421842957</v>
      </c>
      <c r="K20">
        <f t="shared" si="1"/>
        <v>0.79928226499026434</v>
      </c>
      <c r="L20">
        <f t="shared" si="2"/>
        <v>0.64113466838997557</v>
      </c>
      <c r="M20">
        <f t="shared" si="3"/>
        <v>1.5499478612802673</v>
      </c>
      <c r="N20">
        <f t="shared" si="4"/>
        <v>0.69325034997858381</v>
      </c>
      <c r="O20">
        <f t="shared" si="5"/>
        <v>0.88125252262211817</v>
      </c>
      <c r="P20">
        <f t="shared" si="6"/>
        <v>0.68461481458114148</v>
      </c>
    </row>
    <row r="21" spans="1:16">
      <c r="A21" s="4">
        <v>31107</v>
      </c>
      <c r="B21">
        <v>4.2300000000000004</v>
      </c>
      <c r="C21">
        <v>4.46</v>
      </c>
      <c r="D21">
        <v>-0.81</v>
      </c>
      <c r="E21">
        <v>-3.23</v>
      </c>
      <c r="F21">
        <v>8.16</v>
      </c>
      <c r="G21">
        <v>2.37</v>
      </c>
      <c r="H21">
        <v>4.8899999999999997</v>
      </c>
      <c r="J21">
        <f t="shared" si="0"/>
        <v>0.8669172489748691</v>
      </c>
      <c r="K21">
        <f t="shared" si="1"/>
        <v>0.83493025400883014</v>
      </c>
      <c r="L21">
        <f t="shared" si="2"/>
        <v>0.63594147757601682</v>
      </c>
      <c r="M21">
        <f t="shared" si="3"/>
        <v>1.4998845453609146</v>
      </c>
      <c r="N21">
        <f t="shared" si="4"/>
        <v>0.74981957853683623</v>
      </c>
      <c r="O21">
        <f t="shared" si="5"/>
        <v>0.90213820740826245</v>
      </c>
      <c r="P21">
        <f t="shared" si="6"/>
        <v>0.71809247901415929</v>
      </c>
    </row>
    <row r="22" spans="1:16">
      <c r="A22" s="4">
        <v>31138</v>
      </c>
      <c r="B22">
        <v>29.44</v>
      </c>
      <c r="C22">
        <v>20.85</v>
      </c>
      <c r="D22">
        <v>21.31</v>
      </c>
      <c r="E22">
        <v>37.33</v>
      </c>
      <c r="F22">
        <v>15.09</v>
      </c>
      <c r="G22">
        <v>35.840000000000003</v>
      </c>
      <c r="H22">
        <v>21.9</v>
      </c>
      <c r="J22">
        <f t="shared" si="0"/>
        <v>1.1221376870730706</v>
      </c>
      <c r="K22">
        <f t="shared" si="1"/>
        <v>1.0090132119696711</v>
      </c>
      <c r="L22">
        <f t="shared" si="2"/>
        <v>0.77146060644746606</v>
      </c>
      <c r="M22">
        <f t="shared" si="3"/>
        <v>2.059791446144144</v>
      </c>
      <c r="N22">
        <f t="shared" si="4"/>
        <v>0.86296735293804483</v>
      </c>
      <c r="O22">
        <f t="shared" si="5"/>
        <v>1.2254645409433838</v>
      </c>
      <c r="P22">
        <f t="shared" si="6"/>
        <v>0.87535473191826008</v>
      </c>
    </row>
    <row r="23" spans="1:16">
      <c r="A23" s="4">
        <v>31168</v>
      </c>
      <c r="B23">
        <v>7.94</v>
      </c>
      <c r="C23">
        <v>3.14</v>
      </c>
      <c r="D23">
        <v>1.19</v>
      </c>
      <c r="E23">
        <v>-1.26</v>
      </c>
      <c r="F23">
        <v>1.64</v>
      </c>
      <c r="G23">
        <v>3.83</v>
      </c>
      <c r="H23">
        <v>-2.73</v>
      </c>
      <c r="J23">
        <f t="shared" si="0"/>
        <v>1.2112354194266723</v>
      </c>
      <c r="K23">
        <f t="shared" si="1"/>
        <v>1.0406962268255189</v>
      </c>
      <c r="L23">
        <f t="shared" si="2"/>
        <v>0.78064098766419088</v>
      </c>
      <c r="M23">
        <f t="shared" si="3"/>
        <v>2.0338380739227278</v>
      </c>
      <c r="N23">
        <f t="shared" si="4"/>
        <v>0.8771200175262287</v>
      </c>
      <c r="O23">
        <f t="shared" si="5"/>
        <v>1.2723998328615154</v>
      </c>
      <c r="P23">
        <f t="shared" si="6"/>
        <v>0.85145754773689153</v>
      </c>
    </row>
    <row r="24" spans="1:16">
      <c r="A24" s="4">
        <v>31199</v>
      </c>
      <c r="B24">
        <v>36.24</v>
      </c>
      <c r="C24">
        <v>8.3699999999999992</v>
      </c>
      <c r="D24">
        <v>5.41</v>
      </c>
      <c r="E24">
        <v>2.65</v>
      </c>
      <c r="F24">
        <v>21.77</v>
      </c>
      <c r="G24">
        <v>12.91</v>
      </c>
      <c r="H24">
        <v>9.9499999999999993</v>
      </c>
      <c r="J24">
        <f t="shared" si="0"/>
        <v>1.6501871354268984</v>
      </c>
      <c r="K24">
        <f t="shared" si="1"/>
        <v>1.1278025010108146</v>
      </c>
      <c r="L24">
        <f t="shared" si="2"/>
        <v>0.82287366509682358</v>
      </c>
      <c r="M24">
        <f t="shared" si="3"/>
        <v>2.0877347828816801</v>
      </c>
      <c r="N24">
        <f t="shared" si="4"/>
        <v>1.0680690453416888</v>
      </c>
      <c r="O24">
        <f t="shared" si="5"/>
        <v>1.436666651283937</v>
      </c>
      <c r="P24">
        <f t="shared" si="6"/>
        <v>0.93617757373671218</v>
      </c>
    </row>
    <row r="25" spans="1:16">
      <c r="A25" s="4">
        <v>31229</v>
      </c>
      <c r="B25">
        <v>-17.78</v>
      </c>
      <c r="C25">
        <v>-8.07</v>
      </c>
      <c r="D25">
        <v>-15.65</v>
      </c>
      <c r="E25">
        <v>-12.93</v>
      </c>
      <c r="F25">
        <v>5.3</v>
      </c>
      <c r="G25">
        <v>-6.5</v>
      </c>
      <c r="H25">
        <v>-6.91</v>
      </c>
      <c r="J25">
        <f t="shared" si="0"/>
        <v>1.356783862747996</v>
      </c>
      <c r="K25">
        <f t="shared" si="1"/>
        <v>1.0367888391792419</v>
      </c>
      <c r="L25">
        <f t="shared" si="2"/>
        <v>0.69409393650917073</v>
      </c>
      <c r="M25">
        <f t="shared" si="3"/>
        <v>1.817790675455079</v>
      </c>
      <c r="N25">
        <f t="shared" si="4"/>
        <v>1.1246767047447983</v>
      </c>
      <c r="O25">
        <f t="shared" si="5"/>
        <v>1.3432833189504811</v>
      </c>
      <c r="P25">
        <f t="shared" si="6"/>
        <v>0.87148770339150539</v>
      </c>
    </row>
    <row r="26" spans="1:16">
      <c r="A26" s="4">
        <v>31260</v>
      </c>
      <c r="B26">
        <v>0.9</v>
      </c>
      <c r="C26">
        <v>3.05</v>
      </c>
      <c r="D26">
        <v>2.9</v>
      </c>
      <c r="E26">
        <v>8.91</v>
      </c>
      <c r="F26">
        <v>15.09</v>
      </c>
      <c r="G26">
        <v>5.23</v>
      </c>
      <c r="H26">
        <v>3.56</v>
      </c>
      <c r="J26">
        <f t="shared" si="0"/>
        <v>1.3689949175127278</v>
      </c>
      <c r="K26">
        <f t="shared" si="1"/>
        <v>1.0684108987742087</v>
      </c>
      <c r="L26">
        <f t="shared" si="2"/>
        <v>0.7142226606679366</v>
      </c>
      <c r="M26">
        <f t="shared" si="3"/>
        <v>1.9797558246381264</v>
      </c>
      <c r="N26">
        <f t="shared" si="4"/>
        <v>1.2943904194907885</v>
      </c>
      <c r="O26">
        <f t="shared" si="5"/>
        <v>1.4135370365315914</v>
      </c>
      <c r="P26">
        <f t="shared" si="6"/>
        <v>0.90251266563224308</v>
      </c>
    </row>
    <row r="27" spans="1:16">
      <c r="A27" s="4">
        <v>31291</v>
      </c>
      <c r="B27">
        <v>-0.89</v>
      </c>
      <c r="C27">
        <v>-5.19</v>
      </c>
      <c r="D27">
        <v>1.1299999999999999</v>
      </c>
      <c r="E27">
        <v>-2.73</v>
      </c>
      <c r="F27">
        <v>13.11</v>
      </c>
      <c r="G27">
        <v>-0.21</v>
      </c>
      <c r="H27">
        <v>2.85</v>
      </c>
      <c r="J27">
        <f t="shared" si="0"/>
        <v>1.3568108627468645</v>
      </c>
      <c r="K27">
        <f t="shared" si="1"/>
        <v>1.0129603731278272</v>
      </c>
      <c r="L27">
        <f t="shared" si="2"/>
        <v>0.72229337673348437</v>
      </c>
      <c r="M27">
        <f t="shared" si="3"/>
        <v>1.9257084906255055</v>
      </c>
      <c r="N27">
        <f t="shared" si="4"/>
        <v>1.4640850034860309</v>
      </c>
      <c r="O27">
        <f t="shared" si="5"/>
        <v>1.410568608754875</v>
      </c>
      <c r="P27">
        <f t="shared" si="6"/>
        <v>0.92823427660276203</v>
      </c>
    </row>
    <row r="28" spans="1:16">
      <c r="A28" s="4">
        <v>31321</v>
      </c>
      <c r="B28">
        <v>7.21</v>
      </c>
      <c r="C28">
        <v>-4.3</v>
      </c>
      <c r="D28">
        <v>-2.23</v>
      </c>
      <c r="E28">
        <v>-0.93</v>
      </c>
      <c r="F28">
        <v>15.94</v>
      </c>
      <c r="G28">
        <v>-5.6</v>
      </c>
      <c r="H28">
        <v>-1.21</v>
      </c>
      <c r="J28">
        <f t="shared" si="0"/>
        <v>1.4546369259509135</v>
      </c>
      <c r="K28">
        <f t="shared" si="1"/>
        <v>0.96940307708333051</v>
      </c>
      <c r="L28">
        <f t="shared" si="2"/>
        <v>0.70618623443232764</v>
      </c>
      <c r="M28">
        <f t="shared" si="3"/>
        <v>1.9077994016626885</v>
      </c>
      <c r="N28">
        <f t="shared" si="4"/>
        <v>1.6974601530417042</v>
      </c>
      <c r="O28">
        <f t="shared" si="5"/>
        <v>1.3315767666646019</v>
      </c>
      <c r="P28">
        <f t="shared" si="6"/>
        <v>0.91700264185586866</v>
      </c>
    </row>
    <row r="29" spans="1:16">
      <c r="A29" s="4">
        <v>31352</v>
      </c>
      <c r="B29">
        <v>4.2</v>
      </c>
      <c r="C29">
        <v>9.7100000000000009</v>
      </c>
      <c r="D29">
        <v>16.52</v>
      </c>
      <c r="E29">
        <v>10.38</v>
      </c>
      <c r="F29">
        <v>4.37</v>
      </c>
      <c r="G29">
        <v>0.88</v>
      </c>
      <c r="H29">
        <v>6.22</v>
      </c>
      <c r="J29">
        <f t="shared" si="0"/>
        <v>1.515731676840852</v>
      </c>
      <c r="K29">
        <f t="shared" si="1"/>
        <v>1.0635321158681219</v>
      </c>
      <c r="L29">
        <f t="shared" si="2"/>
        <v>0.82284820036054818</v>
      </c>
      <c r="M29">
        <f t="shared" si="3"/>
        <v>2.1058289795552758</v>
      </c>
      <c r="N29">
        <f t="shared" si="4"/>
        <v>1.7716391617296268</v>
      </c>
      <c r="O29">
        <f t="shared" si="5"/>
        <v>1.3432946422112504</v>
      </c>
      <c r="P29">
        <f t="shared" si="6"/>
        <v>0.97404020617930376</v>
      </c>
    </row>
    <row r="30" spans="1:16">
      <c r="A30" s="4">
        <v>31382</v>
      </c>
      <c r="B30">
        <v>-3.23</v>
      </c>
      <c r="C30">
        <v>0.78</v>
      </c>
      <c r="D30">
        <v>-4.6500000000000004</v>
      </c>
      <c r="E30">
        <v>-3.42</v>
      </c>
      <c r="F30">
        <v>-2.4</v>
      </c>
      <c r="G30">
        <v>1.74</v>
      </c>
      <c r="H30">
        <v>1.58</v>
      </c>
      <c r="J30">
        <f t="shared" si="0"/>
        <v>1.4667735436788925</v>
      </c>
      <c r="K30">
        <f t="shared" si="1"/>
        <v>1.0718276663718933</v>
      </c>
      <c r="L30">
        <f t="shared" si="2"/>
        <v>0.78458575904378269</v>
      </c>
      <c r="M30">
        <f t="shared" si="3"/>
        <v>2.0338096284544855</v>
      </c>
      <c r="N30">
        <f t="shared" si="4"/>
        <v>1.7291198218481156</v>
      </c>
      <c r="O30">
        <f t="shared" si="5"/>
        <v>1.3666679689857262</v>
      </c>
      <c r="P30">
        <f t="shared" si="6"/>
        <v>0.9894300414369368</v>
      </c>
    </row>
    <row r="31" spans="1:16">
      <c r="A31" s="4">
        <v>31413</v>
      </c>
      <c r="B31">
        <v>0</v>
      </c>
      <c r="C31">
        <v>-1.55</v>
      </c>
      <c r="D31">
        <v>1.03</v>
      </c>
      <c r="E31">
        <v>0</v>
      </c>
      <c r="F31">
        <v>-1.23</v>
      </c>
      <c r="G31">
        <v>-2.36</v>
      </c>
      <c r="H31">
        <v>5.04</v>
      </c>
      <c r="J31">
        <f t="shared" si="0"/>
        <v>1.4667735436788925</v>
      </c>
      <c r="K31">
        <f t="shared" si="1"/>
        <v>1.0552143375431291</v>
      </c>
      <c r="L31">
        <f t="shared" si="2"/>
        <v>0.79266699236193361</v>
      </c>
      <c r="M31">
        <f t="shared" si="3"/>
        <v>2.0338096284544855</v>
      </c>
      <c r="N31">
        <f t="shared" si="4"/>
        <v>1.7078516480393839</v>
      </c>
      <c r="O31">
        <f t="shared" si="5"/>
        <v>1.3344146049176631</v>
      </c>
      <c r="P31">
        <f t="shared" si="6"/>
        <v>1.0392973155253584</v>
      </c>
    </row>
    <row r="32" spans="1:16">
      <c r="A32" s="4">
        <v>31444</v>
      </c>
      <c r="B32">
        <v>2.5</v>
      </c>
      <c r="C32">
        <v>5.32</v>
      </c>
      <c r="D32">
        <v>13.45</v>
      </c>
      <c r="E32">
        <v>10.62</v>
      </c>
      <c r="F32">
        <v>23.6</v>
      </c>
      <c r="G32">
        <v>7.02</v>
      </c>
      <c r="H32">
        <v>8.1300000000000008</v>
      </c>
      <c r="J32">
        <f t="shared" si="0"/>
        <v>1.5034428822708645</v>
      </c>
      <c r="K32">
        <f t="shared" si="1"/>
        <v>1.1113517403004234</v>
      </c>
      <c r="L32">
        <f t="shared" si="2"/>
        <v>0.8992807028346137</v>
      </c>
      <c r="M32">
        <f t="shared" si="3"/>
        <v>2.249800210996352</v>
      </c>
      <c r="N32">
        <f t="shared" si="4"/>
        <v>2.1109046369766786</v>
      </c>
      <c r="O32">
        <f t="shared" si="5"/>
        <v>1.4280905101828831</v>
      </c>
      <c r="P32">
        <f t="shared" si="6"/>
        <v>1.12379218727757</v>
      </c>
    </row>
    <row r="33" spans="1:16">
      <c r="A33" s="4">
        <v>31472</v>
      </c>
      <c r="B33">
        <v>-3.25</v>
      </c>
      <c r="C33">
        <v>1.1499999999999999</v>
      </c>
      <c r="D33">
        <v>20.81</v>
      </c>
      <c r="E33">
        <v>12.8</v>
      </c>
      <c r="F33">
        <v>35.18</v>
      </c>
      <c r="G33">
        <v>0.41</v>
      </c>
      <c r="H33">
        <v>1.64</v>
      </c>
      <c r="J33">
        <f t="shared" si="0"/>
        <v>1.4545809885970615</v>
      </c>
      <c r="K33">
        <f t="shared" si="1"/>
        <v>1.1241322853138784</v>
      </c>
      <c r="L33">
        <f t="shared" si="2"/>
        <v>1.0864210170944968</v>
      </c>
      <c r="M33">
        <f t="shared" si="3"/>
        <v>2.5377746380038855</v>
      </c>
      <c r="N33">
        <f t="shared" si="4"/>
        <v>2.853520888265074</v>
      </c>
      <c r="O33">
        <f t="shared" si="5"/>
        <v>1.433945681274633</v>
      </c>
      <c r="P33">
        <f t="shared" si="6"/>
        <v>1.1422223791489221</v>
      </c>
    </row>
    <row r="34" spans="1:16">
      <c r="A34" s="4">
        <v>31503</v>
      </c>
      <c r="B34">
        <v>-5.04</v>
      </c>
      <c r="C34">
        <v>12.12</v>
      </c>
      <c r="D34">
        <v>24.07</v>
      </c>
      <c r="E34">
        <v>33.33</v>
      </c>
      <c r="F34">
        <v>20.45</v>
      </c>
      <c r="G34">
        <v>-1.02</v>
      </c>
      <c r="H34">
        <v>6.02</v>
      </c>
      <c r="J34">
        <f t="shared" si="0"/>
        <v>1.3812701067717696</v>
      </c>
      <c r="K34">
        <f t="shared" si="1"/>
        <v>1.2603771182939205</v>
      </c>
      <c r="L34">
        <f t="shared" si="2"/>
        <v>1.3479225559091421</v>
      </c>
      <c r="M34">
        <f t="shared" si="3"/>
        <v>3.3836149248505802</v>
      </c>
      <c r="N34">
        <f t="shared" si="4"/>
        <v>3.4370659099152814</v>
      </c>
      <c r="O34">
        <f t="shared" si="5"/>
        <v>1.4193194353256318</v>
      </c>
      <c r="P34">
        <f t="shared" si="6"/>
        <v>1.2109841663736873</v>
      </c>
    </row>
    <row r="35" spans="1:16">
      <c r="A35" s="4">
        <v>31533</v>
      </c>
      <c r="B35">
        <v>-8.85</v>
      </c>
      <c r="C35">
        <v>1.35</v>
      </c>
      <c r="D35">
        <v>12.69</v>
      </c>
      <c r="E35">
        <v>26.6</v>
      </c>
      <c r="F35">
        <v>-1.23</v>
      </c>
      <c r="G35">
        <v>-8.25</v>
      </c>
      <c r="H35">
        <v>-3.8</v>
      </c>
      <c r="J35">
        <f t="shared" ref="J35:J66" si="7">J34*(1+B35/100)</f>
        <v>1.2590277023224681</v>
      </c>
      <c r="K35">
        <f t="shared" ref="K35:K66" si="8">K34*(1+C35/100)</f>
        <v>1.2773922093908885</v>
      </c>
      <c r="L35">
        <f t="shared" ref="L35:L66" si="9">L34*(1+D35/100)</f>
        <v>1.5189739282540122</v>
      </c>
      <c r="M35">
        <f t="shared" ref="M35:M66" si="10">M34*(1+E35/100)</f>
        <v>4.2836564948608347</v>
      </c>
      <c r="N35">
        <f t="shared" ref="N35:N66" si="11">N34*(1+F35/100)</f>
        <v>3.3947899992233235</v>
      </c>
      <c r="O35">
        <f t="shared" ref="O35:O66" si="12">O34*(1+G35/100)</f>
        <v>1.3022255819112671</v>
      </c>
      <c r="P35">
        <f t="shared" ref="P35:P66" si="13">P34*(1+H35/100)</f>
        <v>1.1649667680514872</v>
      </c>
    </row>
    <row r="36" spans="1:16">
      <c r="A36" s="4">
        <v>31564</v>
      </c>
      <c r="B36">
        <v>-4.45</v>
      </c>
      <c r="C36">
        <v>-2</v>
      </c>
      <c r="D36">
        <v>50.33</v>
      </c>
      <c r="E36">
        <v>55.67</v>
      </c>
      <c r="F36">
        <v>28.12</v>
      </c>
      <c r="G36">
        <v>10.42</v>
      </c>
      <c r="H36">
        <v>10.62</v>
      </c>
      <c r="J36">
        <f t="shared" si="7"/>
        <v>1.2030009695691182</v>
      </c>
      <c r="K36">
        <f t="shared" si="8"/>
        <v>1.2518443652030706</v>
      </c>
      <c r="L36">
        <f t="shared" si="9"/>
        <v>2.2834735063442562</v>
      </c>
      <c r="M36">
        <f t="shared" si="10"/>
        <v>6.6683680655498616</v>
      </c>
      <c r="N36">
        <f t="shared" si="11"/>
        <v>4.3494049470049223</v>
      </c>
      <c r="O36">
        <f t="shared" si="12"/>
        <v>1.4379174875464213</v>
      </c>
      <c r="P36">
        <f t="shared" si="13"/>
        <v>1.2886862388185554</v>
      </c>
    </row>
    <row r="37" spans="1:16">
      <c r="A37" s="4">
        <v>31594</v>
      </c>
      <c r="B37">
        <v>-10.57</v>
      </c>
      <c r="C37">
        <v>10.199999999999999</v>
      </c>
      <c r="D37">
        <v>55.77</v>
      </c>
      <c r="E37">
        <v>25.51</v>
      </c>
      <c r="F37">
        <v>80.290000000000006</v>
      </c>
      <c r="G37">
        <v>3.79</v>
      </c>
      <c r="H37">
        <v>11.47</v>
      </c>
      <c r="J37">
        <f t="shared" si="7"/>
        <v>1.0758437670856624</v>
      </c>
      <c r="K37">
        <f t="shared" si="8"/>
        <v>1.379532490453784</v>
      </c>
      <c r="L37">
        <f t="shared" si="9"/>
        <v>3.5569666808324478</v>
      </c>
      <c r="M37">
        <f t="shared" si="10"/>
        <v>8.3694687590716317</v>
      </c>
      <c r="N37">
        <f t="shared" si="11"/>
        <v>7.8415421789551756</v>
      </c>
      <c r="O37">
        <f t="shared" si="12"/>
        <v>1.4924145603244308</v>
      </c>
      <c r="P37">
        <f t="shared" si="13"/>
        <v>1.4364985504110437</v>
      </c>
    </row>
    <row r="38" spans="1:16">
      <c r="A38" s="4">
        <v>31625</v>
      </c>
      <c r="B38">
        <v>-6.55</v>
      </c>
      <c r="C38">
        <v>-9.57</v>
      </c>
      <c r="D38">
        <v>-5.15</v>
      </c>
      <c r="E38">
        <v>3.87</v>
      </c>
      <c r="F38">
        <v>1.52</v>
      </c>
      <c r="G38">
        <v>-5.53</v>
      </c>
      <c r="H38">
        <v>-3.08</v>
      </c>
      <c r="J38">
        <f t="shared" si="7"/>
        <v>1.0053760003415515</v>
      </c>
      <c r="K38">
        <f t="shared" si="8"/>
        <v>1.2475112311173568</v>
      </c>
      <c r="L38">
        <f t="shared" si="9"/>
        <v>3.3737828967695767</v>
      </c>
      <c r="M38">
        <f t="shared" si="10"/>
        <v>8.6933672000477031</v>
      </c>
      <c r="N38">
        <f t="shared" si="11"/>
        <v>7.9607336200752954</v>
      </c>
      <c r="O38">
        <f t="shared" si="12"/>
        <v>1.4098840351384898</v>
      </c>
      <c r="P38">
        <f t="shared" si="13"/>
        <v>1.3922543950583834</v>
      </c>
    </row>
    <row r="39" spans="1:16">
      <c r="A39" s="4">
        <v>31656</v>
      </c>
      <c r="B39">
        <v>1.89</v>
      </c>
      <c r="C39">
        <v>-7.85</v>
      </c>
      <c r="D39">
        <v>-33.72</v>
      </c>
      <c r="E39">
        <v>-14.91</v>
      </c>
      <c r="F39">
        <v>-19.78</v>
      </c>
      <c r="G39">
        <v>-3.83</v>
      </c>
      <c r="H39">
        <v>-10.74</v>
      </c>
      <c r="J39">
        <f t="shared" si="7"/>
        <v>1.0243776067480068</v>
      </c>
      <c r="K39">
        <f t="shared" si="8"/>
        <v>1.1495815994746443</v>
      </c>
      <c r="L39">
        <f t="shared" si="9"/>
        <v>2.2361433039788756</v>
      </c>
      <c r="M39">
        <f t="shared" si="10"/>
        <v>7.3971861505205903</v>
      </c>
      <c r="N39">
        <f t="shared" si="11"/>
        <v>6.3861005100244022</v>
      </c>
      <c r="O39">
        <f t="shared" si="12"/>
        <v>1.3558854765926855</v>
      </c>
      <c r="P39">
        <f t="shared" si="13"/>
        <v>1.2427262730291131</v>
      </c>
    </row>
    <row r="40" spans="1:16">
      <c r="A40" s="4">
        <v>31686</v>
      </c>
      <c r="B40">
        <v>-13.23</v>
      </c>
      <c r="C40">
        <v>-12.22</v>
      </c>
      <c r="D40">
        <v>-27.49</v>
      </c>
      <c r="E40">
        <v>-28.83</v>
      </c>
      <c r="F40">
        <v>-39.07</v>
      </c>
      <c r="G40">
        <v>-22.72</v>
      </c>
      <c r="H40">
        <v>-16.02</v>
      </c>
      <c r="J40">
        <f t="shared" si="7"/>
        <v>0.88885244937524555</v>
      </c>
      <c r="K40">
        <f t="shared" si="8"/>
        <v>1.0091027280188429</v>
      </c>
      <c r="L40">
        <f t="shared" si="9"/>
        <v>1.621427509715083</v>
      </c>
      <c r="M40">
        <f t="shared" si="10"/>
        <v>5.2645773833255038</v>
      </c>
      <c r="N40">
        <f t="shared" si="11"/>
        <v>3.8910510407578678</v>
      </c>
      <c r="O40">
        <f t="shared" si="12"/>
        <v>1.0478282963108274</v>
      </c>
      <c r="P40">
        <f t="shared" si="13"/>
        <v>1.0436415240898491</v>
      </c>
    </row>
    <row r="41" spans="1:16">
      <c r="A41" s="4">
        <v>31717</v>
      </c>
      <c r="B41">
        <v>15.85</v>
      </c>
      <c r="C41">
        <v>-0.42</v>
      </c>
      <c r="D41">
        <v>3.23</v>
      </c>
      <c r="E41">
        <v>23.08</v>
      </c>
      <c r="F41">
        <v>37.4</v>
      </c>
      <c r="G41">
        <v>7.88</v>
      </c>
      <c r="H41">
        <v>6.62</v>
      </c>
      <c r="J41">
        <f t="shared" si="7"/>
        <v>1.0297355626012221</v>
      </c>
      <c r="K41">
        <f t="shared" si="8"/>
        <v>1.0048644965611637</v>
      </c>
      <c r="L41">
        <f t="shared" si="9"/>
        <v>1.6737996182788801</v>
      </c>
      <c r="M41">
        <f t="shared" si="10"/>
        <v>6.4796418433970295</v>
      </c>
      <c r="N41">
        <f t="shared" si="11"/>
        <v>5.346304130001311</v>
      </c>
      <c r="O41">
        <f t="shared" si="12"/>
        <v>1.1303971660601206</v>
      </c>
      <c r="P41">
        <f t="shared" si="13"/>
        <v>1.1127305929845972</v>
      </c>
    </row>
    <row r="42" spans="1:16">
      <c r="A42" s="4">
        <v>31747</v>
      </c>
      <c r="B42">
        <v>1.84</v>
      </c>
      <c r="C42">
        <v>4.24</v>
      </c>
      <c r="D42">
        <v>0</v>
      </c>
      <c r="E42">
        <v>-6.67</v>
      </c>
      <c r="F42">
        <v>-8.33</v>
      </c>
      <c r="G42">
        <v>4.49</v>
      </c>
      <c r="H42">
        <v>5</v>
      </c>
      <c r="J42">
        <f t="shared" si="7"/>
        <v>1.0486826969530845</v>
      </c>
      <c r="K42">
        <f t="shared" si="8"/>
        <v>1.0474707512153572</v>
      </c>
      <c r="L42">
        <f t="shared" si="9"/>
        <v>1.6737996182788801</v>
      </c>
      <c r="M42">
        <f t="shared" si="10"/>
        <v>6.0474497324424474</v>
      </c>
      <c r="N42">
        <f t="shared" si="11"/>
        <v>4.9009569959722015</v>
      </c>
      <c r="O42">
        <f t="shared" si="12"/>
        <v>1.18115199881622</v>
      </c>
      <c r="P42">
        <f t="shared" si="13"/>
        <v>1.168367122633827</v>
      </c>
    </row>
    <row r="43" spans="1:16">
      <c r="A43" s="4">
        <v>31778</v>
      </c>
      <c r="B43">
        <v>-11.63</v>
      </c>
      <c r="C43">
        <v>1.46</v>
      </c>
      <c r="D43">
        <v>-0.78</v>
      </c>
      <c r="E43">
        <v>4.91</v>
      </c>
      <c r="F43">
        <v>13.94</v>
      </c>
      <c r="G43">
        <v>-5.38</v>
      </c>
      <c r="H43">
        <v>-1.24</v>
      </c>
      <c r="J43">
        <f t="shared" si="7"/>
        <v>0.92672089929744073</v>
      </c>
      <c r="K43">
        <f t="shared" si="8"/>
        <v>1.0627638241831012</v>
      </c>
      <c r="L43">
        <f t="shared" si="9"/>
        <v>1.6607439812563047</v>
      </c>
      <c r="M43">
        <f t="shared" si="10"/>
        <v>6.3443795143053707</v>
      </c>
      <c r="N43">
        <f t="shared" si="11"/>
        <v>5.5841504012107261</v>
      </c>
      <c r="O43">
        <f t="shared" si="12"/>
        <v>1.1176060212799075</v>
      </c>
      <c r="P43">
        <f t="shared" si="13"/>
        <v>1.1538793703131676</v>
      </c>
    </row>
    <row r="44" spans="1:16">
      <c r="A44" s="4">
        <v>31809</v>
      </c>
      <c r="B44">
        <v>5.85</v>
      </c>
      <c r="C44">
        <v>0</v>
      </c>
      <c r="D44">
        <v>43.31</v>
      </c>
      <c r="E44">
        <v>42.13</v>
      </c>
      <c r="F44">
        <v>18.62</v>
      </c>
      <c r="G44">
        <v>2.56</v>
      </c>
      <c r="H44">
        <v>13.82</v>
      </c>
      <c r="J44">
        <f t="shared" si="7"/>
        <v>0.98093407190634097</v>
      </c>
      <c r="K44">
        <f t="shared" si="8"/>
        <v>1.0627638241831012</v>
      </c>
      <c r="L44">
        <f t="shared" si="9"/>
        <v>2.3800121995384105</v>
      </c>
      <c r="M44">
        <f t="shared" si="10"/>
        <v>9.0172666036822235</v>
      </c>
      <c r="N44">
        <f t="shared" si="11"/>
        <v>6.6239192059161631</v>
      </c>
      <c r="O44">
        <f t="shared" si="12"/>
        <v>1.1462167354246733</v>
      </c>
      <c r="P44">
        <f t="shared" si="13"/>
        <v>1.3133454992904472</v>
      </c>
    </row>
    <row r="45" spans="1:16">
      <c r="A45" s="4">
        <v>31837</v>
      </c>
      <c r="B45">
        <v>5.53</v>
      </c>
      <c r="C45">
        <v>1.38</v>
      </c>
      <c r="D45">
        <v>-14.29</v>
      </c>
      <c r="E45">
        <v>-2.99</v>
      </c>
      <c r="F45">
        <v>-11.66</v>
      </c>
      <c r="G45">
        <v>-6.37</v>
      </c>
      <c r="H45">
        <v>-1.21</v>
      </c>
      <c r="J45">
        <f t="shared" si="7"/>
        <v>1.0351797260827615</v>
      </c>
      <c r="K45">
        <f t="shared" si="8"/>
        <v>1.077429964956828</v>
      </c>
      <c r="L45">
        <f t="shared" si="9"/>
        <v>2.0399084562243717</v>
      </c>
      <c r="M45">
        <f t="shared" si="10"/>
        <v>8.7476503322321246</v>
      </c>
      <c r="N45">
        <f t="shared" si="11"/>
        <v>5.8515702265063378</v>
      </c>
      <c r="O45">
        <f t="shared" si="12"/>
        <v>1.0732027293781217</v>
      </c>
      <c r="P45">
        <f t="shared" si="13"/>
        <v>1.2974540187490329</v>
      </c>
    </row>
    <row r="46" spans="1:16">
      <c r="A46" s="4">
        <v>31868</v>
      </c>
      <c r="B46">
        <v>-8.1199999999999992</v>
      </c>
      <c r="C46">
        <v>-5.45</v>
      </c>
      <c r="D46">
        <v>-20.51</v>
      </c>
      <c r="E46">
        <v>-12.04</v>
      </c>
      <c r="F46">
        <v>-2.54</v>
      </c>
      <c r="G46">
        <v>-9.4700000000000006</v>
      </c>
      <c r="H46">
        <v>-8.66</v>
      </c>
      <c r="J46">
        <f t="shared" si="7"/>
        <v>0.95112313232484136</v>
      </c>
      <c r="K46">
        <f t="shared" si="8"/>
        <v>1.0187100318666809</v>
      </c>
      <c r="L46">
        <f t="shared" si="9"/>
        <v>1.6215232318527528</v>
      </c>
      <c r="M46">
        <f t="shared" si="10"/>
        <v>7.6944332322313773</v>
      </c>
      <c r="N46">
        <f t="shared" si="11"/>
        <v>5.7029403427530774</v>
      </c>
      <c r="O46">
        <f t="shared" si="12"/>
        <v>0.97157043090601358</v>
      </c>
      <c r="P46">
        <f t="shared" si="13"/>
        <v>1.1850945007253666</v>
      </c>
    </row>
    <row r="47" spans="1:16">
      <c r="A47" s="4">
        <v>31898</v>
      </c>
      <c r="B47">
        <v>-7.14</v>
      </c>
      <c r="C47">
        <v>-1.44</v>
      </c>
      <c r="D47">
        <v>-6.45</v>
      </c>
      <c r="E47">
        <v>-14.74</v>
      </c>
      <c r="F47">
        <v>1.04</v>
      </c>
      <c r="G47">
        <v>-13.07</v>
      </c>
      <c r="H47">
        <v>-4.83</v>
      </c>
      <c r="J47">
        <f t="shared" si="7"/>
        <v>0.88321294067684764</v>
      </c>
      <c r="K47">
        <f t="shared" si="8"/>
        <v>1.0040406074078008</v>
      </c>
      <c r="L47">
        <f t="shared" si="9"/>
        <v>1.5169349833982502</v>
      </c>
      <c r="M47">
        <f t="shared" si="10"/>
        <v>6.5602737738004722</v>
      </c>
      <c r="N47">
        <f t="shared" si="11"/>
        <v>5.7622509223177092</v>
      </c>
      <c r="O47">
        <f t="shared" si="12"/>
        <v>0.84458617558659754</v>
      </c>
      <c r="P47">
        <f t="shared" si="13"/>
        <v>1.1278544363403313</v>
      </c>
    </row>
    <row r="48" spans="1:16">
      <c r="A48" s="4">
        <v>31929</v>
      </c>
      <c r="B48">
        <v>-1.65</v>
      </c>
      <c r="C48">
        <v>2.44</v>
      </c>
      <c r="D48">
        <v>-12.15</v>
      </c>
      <c r="E48">
        <v>-15.27</v>
      </c>
      <c r="F48">
        <v>-10.31</v>
      </c>
      <c r="G48">
        <v>-5.65</v>
      </c>
      <c r="H48">
        <v>-4.49</v>
      </c>
      <c r="J48">
        <f t="shared" si="7"/>
        <v>0.86863992715567973</v>
      </c>
      <c r="K48">
        <f t="shared" si="8"/>
        <v>1.028539198228551</v>
      </c>
      <c r="L48">
        <f t="shared" si="9"/>
        <v>1.3326273829153628</v>
      </c>
      <c r="M48">
        <f t="shared" si="10"/>
        <v>5.5585199685411393</v>
      </c>
      <c r="N48">
        <f t="shared" si="11"/>
        <v>5.1681628522267538</v>
      </c>
      <c r="O48">
        <f t="shared" si="12"/>
        <v>0.79686705666595481</v>
      </c>
      <c r="P48">
        <f t="shared" si="13"/>
        <v>1.0772137721486503</v>
      </c>
    </row>
    <row r="49" spans="1:16">
      <c r="A49" s="4">
        <v>31959</v>
      </c>
      <c r="B49">
        <v>-0.7</v>
      </c>
      <c r="C49">
        <v>-2.86</v>
      </c>
      <c r="D49">
        <v>2.5299999999999998</v>
      </c>
      <c r="E49">
        <v>9.86</v>
      </c>
      <c r="F49">
        <v>31.03</v>
      </c>
      <c r="G49">
        <v>-5.46</v>
      </c>
      <c r="H49">
        <v>1.39</v>
      </c>
      <c r="J49">
        <f t="shared" si="7"/>
        <v>0.86255944766559001</v>
      </c>
      <c r="K49">
        <f t="shared" si="8"/>
        <v>0.9991229771592145</v>
      </c>
      <c r="L49">
        <f t="shared" si="9"/>
        <v>1.3663428557031216</v>
      </c>
      <c r="M49">
        <f t="shared" si="10"/>
        <v>6.1065900374392958</v>
      </c>
      <c r="N49">
        <f t="shared" si="11"/>
        <v>6.7718437852727158</v>
      </c>
      <c r="O49">
        <f t="shared" si="12"/>
        <v>0.75335811537199371</v>
      </c>
      <c r="P49">
        <f t="shared" si="13"/>
        <v>1.0921870435815166</v>
      </c>
    </row>
    <row r="50" spans="1:16">
      <c r="A50" s="4">
        <v>31990</v>
      </c>
      <c r="B50">
        <v>-1.75</v>
      </c>
      <c r="C50">
        <v>-2.94</v>
      </c>
      <c r="D50">
        <v>-21.73</v>
      </c>
      <c r="E50">
        <v>-21.15</v>
      </c>
      <c r="F50">
        <v>0.7</v>
      </c>
      <c r="G50">
        <v>-21.66</v>
      </c>
      <c r="H50">
        <v>-14.42</v>
      </c>
      <c r="J50">
        <f t="shared" si="7"/>
        <v>0.84746465733144216</v>
      </c>
      <c r="K50">
        <f t="shared" si="8"/>
        <v>0.96974876163073365</v>
      </c>
      <c r="L50">
        <f t="shared" si="9"/>
        <v>1.0694365531588332</v>
      </c>
      <c r="M50">
        <f t="shared" si="10"/>
        <v>4.815046244520885</v>
      </c>
      <c r="N50">
        <f t="shared" si="11"/>
        <v>6.8192466917696244</v>
      </c>
      <c r="O50">
        <f t="shared" si="12"/>
        <v>0.5901807475824199</v>
      </c>
      <c r="P50">
        <f t="shared" si="13"/>
        <v>0.93469367189706198</v>
      </c>
    </row>
    <row r="51" spans="1:16">
      <c r="A51" s="4">
        <v>32021</v>
      </c>
      <c r="B51">
        <v>2.86</v>
      </c>
      <c r="C51">
        <v>3.54</v>
      </c>
      <c r="D51">
        <v>11.36</v>
      </c>
      <c r="E51">
        <v>7.32</v>
      </c>
      <c r="F51">
        <v>-6.71</v>
      </c>
      <c r="G51">
        <v>6.47</v>
      </c>
      <c r="H51">
        <v>4.33</v>
      </c>
      <c r="J51">
        <f t="shared" si="7"/>
        <v>0.87170214653112132</v>
      </c>
      <c r="K51">
        <f t="shared" si="8"/>
        <v>1.0040778677924618</v>
      </c>
      <c r="L51">
        <f t="shared" si="9"/>
        <v>1.1909245455976767</v>
      </c>
      <c r="M51">
        <f t="shared" si="10"/>
        <v>5.1675076296198137</v>
      </c>
      <c r="N51">
        <f t="shared" si="11"/>
        <v>6.3616752387518831</v>
      </c>
      <c r="O51">
        <f t="shared" si="12"/>
        <v>0.62836544195100241</v>
      </c>
      <c r="P51">
        <f t="shared" si="13"/>
        <v>0.97516590789020463</v>
      </c>
    </row>
    <row r="52" spans="1:16">
      <c r="A52" s="4">
        <v>32051</v>
      </c>
      <c r="B52">
        <v>3.12</v>
      </c>
      <c r="C52">
        <v>7.8</v>
      </c>
      <c r="D52">
        <v>7.65</v>
      </c>
      <c r="E52">
        <v>2.27</v>
      </c>
      <c r="F52">
        <v>7.84</v>
      </c>
      <c r="G52">
        <v>11.05</v>
      </c>
      <c r="H52">
        <v>4.8600000000000003</v>
      </c>
      <c r="J52">
        <f t="shared" si="7"/>
        <v>0.89889925350289224</v>
      </c>
      <c r="K52">
        <f t="shared" si="8"/>
        <v>1.082395941480274</v>
      </c>
      <c r="L52">
        <f t="shared" si="9"/>
        <v>1.282030273335899</v>
      </c>
      <c r="M52">
        <f t="shared" si="10"/>
        <v>5.2848100528121833</v>
      </c>
      <c r="N52">
        <f t="shared" si="11"/>
        <v>6.8604305774700309</v>
      </c>
      <c r="O52">
        <f t="shared" si="12"/>
        <v>0.69779982328658818</v>
      </c>
      <c r="P52">
        <f t="shared" si="13"/>
        <v>1.0225589710136687</v>
      </c>
    </row>
    <row r="53" spans="1:16">
      <c r="A53" s="4">
        <v>32082</v>
      </c>
      <c r="B53">
        <v>0.34</v>
      </c>
      <c r="C53">
        <v>-4.53</v>
      </c>
      <c r="D53">
        <v>20.53</v>
      </c>
      <c r="E53">
        <v>16.3</v>
      </c>
      <c r="F53">
        <v>6.67</v>
      </c>
      <c r="G53">
        <v>10.95</v>
      </c>
      <c r="H53">
        <v>0.16</v>
      </c>
      <c r="J53">
        <f t="shared" si="7"/>
        <v>0.90195551096480209</v>
      </c>
      <c r="K53">
        <f t="shared" si="8"/>
        <v>1.0333634053312175</v>
      </c>
      <c r="L53">
        <f t="shared" si="9"/>
        <v>1.545231088451759</v>
      </c>
      <c r="M53">
        <f t="shared" si="10"/>
        <v>6.1462340914205695</v>
      </c>
      <c r="N53">
        <f t="shared" si="11"/>
        <v>7.3180212969872818</v>
      </c>
      <c r="O53">
        <f t="shared" si="12"/>
        <v>0.77420890393646957</v>
      </c>
      <c r="P53">
        <f t="shared" si="13"/>
        <v>1.0241950653672907</v>
      </c>
    </row>
    <row r="54" spans="1:16">
      <c r="A54" s="4">
        <v>32112</v>
      </c>
      <c r="B54">
        <v>-6.71</v>
      </c>
      <c r="C54">
        <v>-8.06</v>
      </c>
      <c r="D54">
        <v>-12.01</v>
      </c>
      <c r="E54">
        <v>-9.5500000000000007</v>
      </c>
      <c r="F54">
        <v>1.1399999999999999</v>
      </c>
      <c r="G54">
        <v>-10.76</v>
      </c>
      <c r="H54">
        <v>-10.57</v>
      </c>
      <c r="J54">
        <f t="shared" si="7"/>
        <v>0.84143429617906396</v>
      </c>
      <c r="K54">
        <f t="shared" si="8"/>
        <v>0.95007431486152139</v>
      </c>
      <c r="L54">
        <f t="shared" si="9"/>
        <v>1.3596488347287028</v>
      </c>
      <c r="M54">
        <f t="shared" si="10"/>
        <v>5.5592687356899049</v>
      </c>
      <c r="N54">
        <f t="shared" si="11"/>
        <v>7.4014467397729371</v>
      </c>
      <c r="O54">
        <f t="shared" si="12"/>
        <v>0.69090402587290545</v>
      </c>
      <c r="P54">
        <f t="shared" si="13"/>
        <v>0.91593764695796798</v>
      </c>
    </row>
    <row r="55" spans="1:16">
      <c r="A55" s="4">
        <v>32143</v>
      </c>
      <c r="B55">
        <v>-15.11</v>
      </c>
      <c r="C55">
        <v>-12.37</v>
      </c>
      <c r="D55">
        <v>12.41</v>
      </c>
      <c r="E55">
        <v>18.309999999999999</v>
      </c>
      <c r="F55">
        <v>-3.37</v>
      </c>
      <c r="G55">
        <v>-16.079999999999998</v>
      </c>
      <c r="H55">
        <v>-6.55</v>
      </c>
      <c r="J55">
        <f t="shared" si="7"/>
        <v>0.71429357402640736</v>
      </c>
      <c r="K55">
        <f t="shared" si="8"/>
        <v>0.83255012211315116</v>
      </c>
      <c r="L55">
        <f t="shared" si="9"/>
        <v>1.528381255118535</v>
      </c>
      <c r="M55">
        <f t="shared" si="10"/>
        <v>6.5771708411947269</v>
      </c>
      <c r="N55">
        <f t="shared" si="11"/>
        <v>7.1520179846425895</v>
      </c>
      <c r="O55">
        <f t="shared" si="12"/>
        <v>0.57980665851254232</v>
      </c>
      <c r="P55">
        <f t="shared" si="13"/>
        <v>0.8559437310822211</v>
      </c>
    </row>
    <row r="56" spans="1:16">
      <c r="A56" s="4">
        <v>32174</v>
      </c>
      <c r="B56">
        <v>1.69</v>
      </c>
      <c r="C56">
        <v>8.24</v>
      </c>
      <c r="D56">
        <v>6.84</v>
      </c>
      <c r="E56">
        <v>5.36</v>
      </c>
      <c r="F56">
        <v>-6.98</v>
      </c>
      <c r="G56">
        <v>0</v>
      </c>
      <c r="H56">
        <v>5.34</v>
      </c>
      <c r="J56">
        <f t="shared" si="7"/>
        <v>0.72636513542745362</v>
      </c>
      <c r="K56">
        <f t="shared" si="8"/>
        <v>0.90115225217527484</v>
      </c>
      <c r="L56">
        <f t="shared" si="9"/>
        <v>1.6329225329686428</v>
      </c>
      <c r="M56">
        <f t="shared" si="10"/>
        <v>6.9297071982827649</v>
      </c>
      <c r="N56">
        <f t="shared" si="11"/>
        <v>6.652807129314537</v>
      </c>
      <c r="O56">
        <f t="shared" si="12"/>
        <v>0.57980665851254232</v>
      </c>
      <c r="P56">
        <f t="shared" si="13"/>
        <v>0.90165112632201161</v>
      </c>
    </row>
    <row r="57" spans="1:16">
      <c r="A57" s="4">
        <v>32203</v>
      </c>
      <c r="B57">
        <v>5</v>
      </c>
      <c r="C57">
        <v>17.93</v>
      </c>
      <c r="D57">
        <v>18.8</v>
      </c>
      <c r="E57">
        <v>17.510000000000002</v>
      </c>
      <c r="F57">
        <v>10.63</v>
      </c>
      <c r="G57">
        <v>7.19</v>
      </c>
      <c r="H57">
        <v>8.91</v>
      </c>
      <c r="J57">
        <f t="shared" si="7"/>
        <v>0.7626833921988263</v>
      </c>
      <c r="K57">
        <f t="shared" si="8"/>
        <v>1.0627288509903017</v>
      </c>
      <c r="L57">
        <f t="shared" si="9"/>
        <v>1.9399119691667475</v>
      </c>
      <c r="M57">
        <f t="shared" si="10"/>
        <v>8.1430989287020772</v>
      </c>
      <c r="N57">
        <f t="shared" si="11"/>
        <v>7.3600005271606728</v>
      </c>
      <c r="O57">
        <f t="shared" si="12"/>
        <v>0.62149475725959413</v>
      </c>
      <c r="P57">
        <f t="shared" si="13"/>
        <v>0.98198824167730281</v>
      </c>
    </row>
    <row r="58" spans="1:16">
      <c r="A58" s="4">
        <v>32234</v>
      </c>
      <c r="B58">
        <v>8.73</v>
      </c>
      <c r="C58">
        <v>19.82</v>
      </c>
      <c r="D58">
        <v>-11.3</v>
      </c>
      <c r="E58">
        <v>6.25</v>
      </c>
      <c r="F58">
        <v>0.56999999999999995</v>
      </c>
      <c r="G58">
        <v>12.29</v>
      </c>
      <c r="H58">
        <v>7.11</v>
      </c>
      <c r="J58">
        <f t="shared" si="7"/>
        <v>0.82926565233778382</v>
      </c>
      <c r="K58">
        <f t="shared" si="8"/>
        <v>1.2733617092565794</v>
      </c>
      <c r="L58">
        <f t="shared" si="9"/>
        <v>1.720701916650905</v>
      </c>
      <c r="M58">
        <f t="shared" si="10"/>
        <v>8.6520426117459568</v>
      </c>
      <c r="N58">
        <f t="shared" si="11"/>
        <v>7.4019525301654889</v>
      </c>
      <c r="O58">
        <f t="shared" si="12"/>
        <v>0.69787646292679828</v>
      </c>
      <c r="P58">
        <f t="shared" si="13"/>
        <v>1.051807605660559</v>
      </c>
    </row>
    <row r="59" spans="1:16">
      <c r="A59" s="4">
        <v>32264</v>
      </c>
      <c r="B59">
        <v>-12.04</v>
      </c>
      <c r="C59">
        <v>-4.59</v>
      </c>
      <c r="D59">
        <v>11.76</v>
      </c>
      <c r="E59">
        <v>5.88</v>
      </c>
      <c r="F59">
        <v>15.73</v>
      </c>
      <c r="G59">
        <v>-14.43</v>
      </c>
      <c r="H59">
        <v>-0.74</v>
      </c>
      <c r="J59">
        <f t="shared" si="7"/>
        <v>0.72942206779631469</v>
      </c>
      <c r="K59">
        <f t="shared" si="8"/>
        <v>1.2149144068017024</v>
      </c>
      <c r="L59">
        <f t="shared" si="9"/>
        <v>1.9230564620490513</v>
      </c>
      <c r="M59">
        <f t="shared" si="10"/>
        <v>9.1607827173166179</v>
      </c>
      <c r="N59">
        <f t="shared" si="11"/>
        <v>8.56627966316052</v>
      </c>
      <c r="O59">
        <f t="shared" si="12"/>
        <v>0.59717288932646129</v>
      </c>
      <c r="P59">
        <f t="shared" si="13"/>
        <v>1.0440242293786708</v>
      </c>
    </row>
    <row r="60" spans="1:16">
      <c r="A60" s="4">
        <v>32295</v>
      </c>
      <c r="B60">
        <v>3.73</v>
      </c>
      <c r="C60">
        <v>14.02</v>
      </c>
      <c r="D60">
        <v>40.22</v>
      </c>
      <c r="E60">
        <v>29.83</v>
      </c>
      <c r="F60">
        <v>41.75</v>
      </c>
      <c r="G60">
        <v>5.27</v>
      </c>
      <c r="H60">
        <v>15.73</v>
      </c>
      <c r="J60">
        <f t="shared" si="7"/>
        <v>0.75662951092511732</v>
      </c>
      <c r="K60">
        <f t="shared" si="8"/>
        <v>1.3852454066353013</v>
      </c>
      <c r="L60">
        <f t="shared" si="9"/>
        <v>2.69650977108518</v>
      </c>
      <c r="M60">
        <f t="shared" si="10"/>
        <v>11.893444201892166</v>
      </c>
      <c r="N60">
        <f t="shared" si="11"/>
        <v>12.142701422530036</v>
      </c>
      <c r="O60">
        <f t="shared" si="12"/>
        <v>0.6286439005939658</v>
      </c>
      <c r="P60">
        <f t="shared" si="13"/>
        <v>1.2082492406599357</v>
      </c>
    </row>
    <row r="61" spans="1:16">
      <c r="A61" s="4">
        <v>32325</v>
      </c>
      <c r="B61">
        <v>-10.67</v>
      </c>
      <c r="C61">
        <v>-10.66</v>
      </c>
      <c r="D61">
        <v>-12.95</v>
      </c>
      <c r="E61">
        <v>-10.119999999999999</v>
      </c>
      <c r="F61">
        <v>-19.93</v>
      </c>
      <c r="G61">
        <v>-12</v>
      </c>
      <c r="H61">
        <v>-13.47</v>
      </c>
      <c r="J61">
        <f t="shared" si="7"/>
        <v>0.67589714210940732</v>
      </c>
      <c r="K61">
        <f t="shared" si="8"/>
        <v>1.2375782462879781</v>
      </c>
      <c r="L61">
        <f t="shared" si="9"/>
        <v>2.3473117557296495</v>
      </c>
      <c r="M61">
        <f t="shared" si="10"/>
        <v>10.689827648660678</v>
      </c>
      <c r="N61">
        <f t="shared" si="11"/>
        <v>9.7226610290198003</v>
      </c>
      <c r="O61">
        <f t="shared" si="12"/>
        <v>0.55320663252268987</v>
      </c>
      <c r="P61">
        <f t="shared" si="13"/>
        <v>1.0454980679430423</v>
      </c>
    </row>
    <row r="62" spans="1:16">
      <c r="A62" s="4">
        <v>32356</v>
      </c>
      <c r="B62">
        <v>3.5</v>
      </c>
      <c r="C62">
        <v>13.76</v>
      </c>
      <c r="D62">
        <v>33.880000000000003</v>
      </c>
      <c r="E62">
        <v>21.62</v>
      </c>
      <c r="F62">
        <v>23.95</v>
      </c>
      <c r="G62">
        <v>3.05</v>
      </c>
      <c r="H62">
        <v>11.34</v>
      </c>
      <c r="J62">
        <f t="shared" si="7"/>
        <v>0.6995535420832365</v>
      </c>
      <c r="K62">
        <f t="shared" si="8"/>
        <v>1.4078690129772038</v>
      </c>
      <c r="L62">
        <f t="shared" si="9"/>
        <v>3.1425809785708547</v>
      </c>
      <c r="M62">
        <f t="shared" si="10"/>
        <v>13.000968386301116</v>
      </c>
      <c r="N62">
        <f t="shared" si="11"/>
        <v>12.051238345470043</v>
      </c>
      <c r="O62">
        <f t="shared" si="12"/>
        <v>0.57007943481463186</v>
      </c>
      <c r="P62">
        <f t="shared" si="13"/>
        <v>1.1640575488477833</v>
      </c>
    </row>
    <row r="63" spans="1:16">
      <c r="A63" s="4">
        <v>32387</v>
      </c>
      <c r="B63">
        <v>9.66</v>
      </c>
      <c r="C63">
        <v>4.03</v>
      </c>
      <c r="D63">
        <v>-8.64</v>
      </c>
      <c r="E63">
        <v>-1.1100000000000001</v>
      </c>
      <c r="F63">
        <v>0.48</v>
      </c>
      <c r="G63">
        <v>-4.6100000000000003</v>
      </c>
      <c r="H63">
        <v>-6.85</v>
      </c>
      <c r="J63">
        <f t="shared" si="7"/>
        <v>0.76713041424847717</v>
      </c>
      <c r="K63">
        <f t="shared" si="8"/>
        <v>1.464606134200185</v>
      </c>
      <c r="L63">
        <f t="shared" si="9"/>
        <v>2.8710619820223329</v>
      </c>
      <c r="M63">
        <f t="shared" si="10"/>
        <v>12.856657637213173</v>
      </c>
      <c r="N63">
        <f t="shared" si="11"/>
        <v>12.109084289528299</v>
      </c>
      <c r="O63">
        <f t="shared" si="12"/>
        <v>0.54379877286967726</v>
      </c>
      <c r="P63">
        <f t="shared" si="13"/>
        <v>1.0843196067517102</v>
      </c>
    </row>
    <row r="64" spans="1:16">
      <c r="A64" s="4">
        <v>32417</v>
      </c>
      <c r="B64">
        <v>-7.49</v>
      </c>
      <c r="C64">
        <v>-6.2</v>
      </c>
      <c r="D64">
        <v>16.89</v>
      </c>
      <c r="E64">
        <v>8.61</v>
      </c>
      <c r="F64">
        <v>7.21</v>
      </c>
      <c r="G64">
        <v>-11.38</v>
      </c>
      <c r="H64">
        <v>3.37</v>
      </c>
      <c r="J64">
        <f t="shared" si="7"/>
        <v>0.70967234622126629</v>
      </c>
      <c r="K64">
        <f t="shared" si="8"/>
        <v>1.3738005538797735</v>
      </c>
      <c r="L64">
        <f t="shared" si="9"/>
        <v>3.3559843507859051</v>
      </c>
      <c r="M64">
        <f t="shared" si="10"/>
        <v>13.963615859777228</v>
      </c>
      <c r="N64">
        <f t="shared" si="11"/>
        <v>12.98214926680329</v>
      </c>
      <c r="O64">
        <f t="shared" si="12"/>
        <v>0.48191447251710801</v>
      </c>
      <c r="P64">
        <f t="shared" si="13"/>
        <v>1.120861177499243</v>
      </c>
    </row>
    <row r="65" spans="1:17">
      <c r="A65" s="4">
        <v>32448</v>
      </c>
      <c r="B65">
        <v>-7.14</v>
      </c>
      <c r="C65">
        <v>-7.02</v>
      </c>
      <c r="D65">
        <v>2.89</v>
      </c>
      <c r="E65">
        <v>2.41</v>
      </c>
      <c r="F65">
        <v>1.35</v>
      </c>
      <c r="G65">
        <v>-9.73</v>
      </c>
      <c r="H65">
        <v>-1.71</v>
      </c>
      <c r="J65">
        <f t="shared" si="7"/>
        <v>0.65900174070106787</v>
      </c>
      <c r="K65">
        <f t="shared" si="8"/>
        <v>1.2773597549974134</v>
      </c>
      <c r="L65">
        <f t="shared" si="9"/>
        <v>3.4529722985236173</v>
      </c>
      <c r="M65">
        <f t="shared" si="10"/>
        <v>14.300139001997859</v>
      </c>
      <c r="N65">
        <f t="shared" si="11"/>
        <v>13.157408281905136</v>
      </c>
      <c r="O65">
        <f t="shared" si="12"/>
        <v>0.43502419434119344</v>
      </c>
      <c r="P65">
        <f t="shared" si="13"/>
        <v>1.1016944513640059</v>
      </c>
    </row>
    <row r="66" spans="1:17">
      <c r="A66" s="4">
        <v>32478</v>
      </c>
      <c r="B66">
        <v>66.150000000000006</v>
      </c>
      <c r="C66">
        <v>3.11</v>
      </c>
      <c r="D66">
        <v>25.84</v>
      </c>
      <c r="E66">
        <v>12.46</v>
      </c>
      <c r="F66">
        <v>3.54</v>
      </c>
      <c r="G66">
        <v>-9.91</v>
      </c>
      <c r="H66">
        <v>9.43</v>
      </c>
      <c r="J66">
        <f t="shared" si="7"/>
        <v>1.0949313921748245</v>
      </c>
      <c r="K66">
        <f t="shared" si="8"/>
        <v>1.3170856433778328</v>
      </c>
      <c r="L66">
        <f t="shared" si="9"/>
        <v>4.3452203404621201</v>
      </c>
      <c r="M66">
        <f t="shared" si="10"/>
        <v>16.081936321646793</v>
      </c>
      <c r="N66">
        <f t="shared" si="11"/>
        <v>13.623180535084579</v>
      </c>
      <c r="O66">
        <f t="shared" si="12"/>
        <v>0.39191329668198116</v>
      </c>
      <c r="P66">
        <f t="shared" si="13"/>
        <v>1.2055842381276316</v>
      </c>
    </row>
    <row r="67" spans="1:17">
      <c r="A67" s="4">
        <v>32509</v>
      </c>
      <c r="B67">
        <v>18.21</v>
      </c>
      <c r="C67">
        <v>10.78</v>
      </c>
      <c r="D67">
        <v>9.3800000000000008</v>
      </c>
      <c r="E67">
        <v>21.56</v>
      </c>
      <c r="F67">
        <v>6.41</v>
      </c>
      <c r="G67">
        <v>31.1</v>
      </c>
      <c r="H67">
        <v>15.34</v>
      </c>
      <c r="J67">
        <f t="shared" ref="J67:J98" si="14">J66*(1+B67/100)</f>
        <v>1.2943183986898599</v>
      </c>
      <c r="K67">
        <f t="shared" ref="K67:K98" si="15">K66*(1+C67/100)</f>
        <v>1.459067475733963</v>
      </c>
      <c r="L67">
        <f t="shared" ref="L67:L98" si="16">L66*(1+D67/100)</f>
        <v>4.7528020083974676</v>
      </c>
      <c r="M67">
        <f t="shared" ref="M67:M98" si="17">M66*(1+E67/100)</f>
        <v>19.549201792593841</v>
      </c>
      <c r="N67">
        <f t="shared" ref="N67:N98" si="18">N66*(1+F67/100)</f>
        <v>14.496426407383501</v>
      </c>
      <c r="O67">
        <f t="shared" ref="O67:O98" si="19">O66*(1+G67/100)</f>
        <v>0.51379833195007729</v>
      </c>
      <c r="P67">
        <f t="shared" ref="P67:P98" si="20">P66*(1+H67/100)</f>
        <v>1.3905208602564103</v>
      </c>
    </row>
    <row r="68" spans="1:17">
      <c r="A68" s="4">
        <v>32540</v>
      </c>
      <c r="B68">
        <v>12.53</v>
      </c>
      <c r="C68">
        <v>-7.39</v>
      </c>
      <c r="D68">
        <v>-8.16</v>
      </c>
      <c r="E68">
        <v>-0.99</v>
      </c>
      <c r="F68">
        <v>14.86</v>
      </c>
      <c r="G68">
        <v>-5.1100000000000003</v>
      </c>
      <c r="H68">
        <v>-3.17</v>
      </c>
      <c r="J68">
        <f t="shared" si="14"/>
        <v>1.4564964940456993</v>
      </c>
      <c r="K68">
        <f t="shared" si="15"/>
        <v>1.3512423892772232</v>
      </c>
      <c r="L68">
        <f t="shared" si="16"/>
        <v>4.3649733645122346</v>
      </c>
      <c r="M68">
        <f t="shared" si="17"/>
        <v>19.35566469484716</v>
      </c>
      <c r="N68">
        <f t="shared" si="18"/>
        <v>16.650595371520691</v>
      </c>
      <c r="O68">
        <f t="shared" si="19"/>
        <v>0.48754323718742831</v>
      </c>
      <c r="P68">
        <f t="shared" si="20"/>
        <v>1.3464413489862821</v>
      </c>
    </row>
    <row r="69" spans="1:17">
      <c r="A69" s="4">
        <v>32568</v>
      </c>
      <c r="B69">
        <v>-20.420000000000002</v>
      </c>
      <c r="C69">
        <v>-7.98</v>
      </c>
      <c r="D69">
        <v>4.8899999999999997</v>
      </c>
      <c r="E69">
        <v>1.99</v>
      </c>
      <c r="F69">
        <v>23.43</v>
      </c>
      <c r="G69">
        <v>-1.54</v>
      </c>
      <c r="H69">
        <v>4.4400000000000004</v>
      </c>
      <c r="J69">
        <f t="shared" si="14"/>
        <v>1.1590799099615674</v>
      </c>
      <c r="K69">
        <f t="shared" si="15"/>
        <v>1.2434132466129009</v>
      </c>
      <c r="L69">
        <f t="shared" si="16"/>
        <v>4.5784205620368823</v>
      </c>
      <c r="M69">
        <f t="shared" si="17"/>
        <v>19.740842422274618</v>
      </c>
      <c r="N69">
        <f t="shared" si="18"/>
        <v>20.551829867067987</v>
      </c>
      <c r="O69">
        <f t="shared" si="19"/>
        <v>0.48003507133474194</v>
      </c>
      <c r="P69">
        <f t="shared" si="20"/>
        <v>1.4062233448812731</v>
      </c>
    </row>
    <row r="70" spans="1:17">
      <c r="A70" s="4">
        <v>32599</v>
      </c>
      <c r="B70">
        <v>-27.11</v>
      </c>
      <c r="C70">
        <v>-0.91</v>
      </c>
      <c r="D70">
        <v>-10.17</v>
      </c>
      <c r="E70">
        <v>-4.88</v>
      </c>
      <c r="F70">
        <v>-18.41</v>
      </c>
      <c r="G70">
        <v>-17.97</v>
      </c>
      <c r="H70">
        <v>-10.93</v>
      </c>
      <c r="J70">
        <f t="shared" si="14"/>
        <v>0.84485334637098652</v>
      </c>
      <c r="K70">
        <f t="shared" si="15"/>
        <v>1.2320981860687235</v>
      </c>
      <c r="L70">
        <f t="shared" si="16"/>
        <v>4.1127951908777316</v>
      </c>
      <c r="M70">
        <f t="shared" si="17"/>
        <v>18.777489312067619</v>
      </c>
      <c r="N70">
        <f t="shared" si="18"/>
        <v>16.768237988540768</v>
      </c>
      <c r="O70">
        <f t="shared" si="19"/>
        <v>0.39377276901588881</v>
      </c>
      <c r="P70">
        <f t="shared" si="20"/>
        <v>1.25252313328575</v>
      </c>
    </row>
    <row r="71" spans="1:17">
      <c r="A71" s="4">
        <v>32629</v>
      </c>
      <c r="B71">
        <v>11.6</v>
      </c>
      <c r="C71">
        <v>5.07</v>
      </c>
      <c r="D71">
        <v>5.85</v>
      </c>
      <c r="E71">
        <v>3.06</v>
      </c>
      <c r="F71">
        <v>-2.08</v>
      </c>
      <c r="G71">
        <v>0</v>
      </c>
      <c r="H71">
        <v>1.85</v>
      </c>
      <c r="J71">
        <f t="shared" si="14"/>
        <v>0.94285633455002105</v>
      </c>
      <c r="K71">
        <f t="shared" si="15"/>
        <v>1.2945655641024076</v>
      </c>
      <c r="L71">
        <f t="shared" si="16"/>
        <v>4.3533937095440791</v>
      </c>
      <c r="M71">
        <f t="shared" si="17"/>
        <v>19.352080485016888</v>
      </c>
      <c r="N71">
        <f t="shared" si="18"/>
        <v>16.419458638379119</v>
      </c>
      <c r="O71">
        <f t="shared" si="19"/>
        <v>0.39377276901588881</v>
      </c>
      <c r="P71">
        <f t="shared" si="20"/>
        <v>1.2756948112515363</v>
      </c>
    </row>
    <row r="72" spans="1:17">
      <c r="A72" s="4">
        <v>32660</v>
      </c>
      <c r="B72">
        <v>-12.54</v>
      </c>
      <c r="C72">
        <v>-2.2200000000000002</v>
      </c>
      <c r="D72">
        <v>-8.56</v>
      </c>
      <c r="E72">
        <v>-7.01</v>
      </c>
      <c r="F72">
        <v>-1.42</v>
      </c>
      <c r="G72">
        <v>-13.06</v>
      </c>
      <c r="H72">
        <v>-7.54</v>
      </c>
      <c r="J72">
        <f t="shared" si="14"/>
        <v>0.82462215019744844</v>
      </c>
      <c r="K72">
        <f t="shared" si="15"/>
        <v>1.2658262085793341</v>
      </c>
      <c r="L72">
        <f t="shared" si="16"/>
        <v>3.9807432080071057</v>
      </c>
      <c r="M72">
        <f t="shared" si="17"/>
        <v>17.995499643017205</v>
      </c>
      <c r="N72">
        <f t="shared" si="18"/>
        <v>16.186302325714134</v>
      </c>
      <c r="O72">
        <f t="shared" si="19"/>
        <v>0.3423460453824137</v>
      </c>
      <c r="P72">
        <f t="shared" si="20"/>
        <v>1.1795074224831703</v>
      </c>
      <c r="Q72" s="3"/>
    </row>
    <row r="73" spans="1:17">
      <c r="A73" s="4">
        <v>32690</v>
      </c>
      <c r="B73">
        <v>10.65</v>
      </c>
      <c r="C73">
        <v>4.76</v>
      </c>
      <c r="D73">
        <v>-12.28</v>
      </c>
      <c r="E73">
        <v>-13.01</v>
      </c>
      <c r="F73">
        <v>13.06</v>
      </c>
      <c r="G73">
        <v>13.79</v>
      </c>
      <c r="H73">
        <v>-1.82</v>
      </c>
      <c r="J73">
        <f t="shared" si="14"/>
        <v>0.91244440919347669</v>
      </c>
      <c r="K73">
        <f t="shared" si="15"/>
        <v>1.3260795361077105</v>
      </c>
      <c r="L73">
        <f t="shared" si="16"/>
        <v>3.491907942063833</v>
      </c>
      <c r="M73">
        <f t="shared" si="17"/>
        <v>15.654285139460667</v>
      </c>
      <c r="N73">
        <f t="shared" si="18"/>
        <v>18.3002334094524</v>
      </c>
      <c r="O73">
        <f t="shared" si="19"/>
        <v>0.38955556504064853</v>
      </c>
      <c r="P73">
        <f t="shared" si="20"/>
        <v>1.1580403873939766</v>
      </c>
    </row>
    <row r="74" spans="1:17">
      <c r="A74" s="4">
        <v>32721</v>
      </c>
      <c r="B74">
        <v>-20.97</v>
      </c>
      <c r="C74">
        <v>-6.36</v>
      </c>
      <c r="D74">
        <v>10</v>
      </c>
      <c r="E74">
        <v>5.91</v>
      </c>
      <c r="F74">
        <v>-1.66</v>
      </c>
      <c r="G74">
        <v>-16.16</v>
      </c>
      <c r="H74">
        <v>-6.14</v>
      </c>
      <c r="J74">
        <f t="shared" si="14"/>
        <v>0.72110481658560466</v>
      </c>
      <c r="K74">
        <f t="shared" si="15"/>
        <v>1.2417408776112602</v>
      </c>
      <c r="L74">
        <f t="shared" si="16"/>
        <v>3.8410987362702165</v>
      </c>
      <c r="M74">
        <f t="shared" si="17"/>
        <v>16.57945339120279</v>
      </c>
      <c r="N74">
        <f t="shared" si="18"/>
        <v>17.99644953485549</v>
      </c>
      <c r="O74">
        <f t="shared" si="19"/>
        <v>0.32660338573007974</v>
      </c>
      <c r="P74">
        <f t="shared" si="20"/>
        <v>1.0869367076079866</v>
      </c>
    </row>
    <row r="75" spans="1:17">
      <c r="A75" s="4">
        <v>32752</v>
      </c>
      <c r="B75">
        <v>-14.29</v>
      </c>
      <c r="C75">
        <v>0.02</v>
      </c>
      <c r="D75">
        <v>-22.42</v>
      </c>
      <c r="E75">
        <v>-25.65</v>
      </c>
      <c r="F75">
        <v>-18.989999999999998</v>
      </c>
      <c r="G75">
        <v>-11.45</v>
      </c>
      <c r="H75">
        <v>-18.8</v>
      </c>
      <c r="J75">
        <f t="shared" si="14"/>
        <v>0.61805893829552172</v>
      </c>
      <c r="K75">
        <f t="shared" si="15"/>
        <v>1.2419892257867824</v>
      </c>
      <c r="L75">
        <f t="shared" si="16"/>
        <v>2.9799243995984339</v>
      </c>
      <c r="M75">
        <f t="shared" si="17"/>
        <v>12.326823596359276</v>
      </c>
      <c r="N75">
        <f t="shared" si="18"/>
        <v>14.578923768186433</v>
      </c>
      <c r="O75">
        <f t="shared" si="19"/>
        <v>0.2892072980639856</v>
      </c>
      <c r="P75">
        <f t="shared" si="20"/>
        <v>0.88259260657768512</v>
      </c>
    </row>
    <row r="76" spans="1:17">
      <c r="A76" s="4">
        <v>32782</v>
      </c>
      <c r="B76">
        <v>-1.79</v>
      </c>
      <c r="C76">
        <v>-7.43</v>
      </c>
      <c r="D76">
        <v>-10.94</v>
      </c>
      <c r="E76">
        <v>-2</v>
      </c>
      <c r="F76">
        <v>-11.98</v>
      </c>
      <c r="G76">
        <v>5.44</v>
      </c>
      <c r="H76">
        <v>-10.36</v>
      </c>
      <c r="J76">
        <f t="shared" si="14"/>
        <v>0.60699568330003184</v>
      </c>
      <c r="K76">
        <f t="shared" si="15"/>
        <v>1.1497094263108245</v>
      </c>
      <c r="L76">
        <f t="shared" si="16"/>
        <v>2.6539206702823654</v>
      </c>
      <c r="M76">
        <f t="shared" si="17"/>
        <v>12.08028712443209</v>
      </c>
      <c r="N76">
        <f t="shared" si="18"/>
        <v>12.832368700757698</v>
      </c>
      <c r="O76">
        <f t="shared" si="19"/>
        <v>0.30494017507866639</v>
      </c>
      <c r="P76">
        <f t="shared" si="20"/>
        <v>0.79115601253623691</v>
      </c>
    </row>
    <row r="77" spans="1:17">
      <c r="A77" s="4">
        <v>32813</v>
      </c>
      <c r="B77">
        <v>-1.21</v>
      </c>
      <c r="C77">
        <v>-4.8099999999999996</v>
      </c>
      <c r="D77">
        <v>-8.77</v>
      </c>
      <c r="E77">
        <v>-8.67</v>
      </c>
      <c r="F77">
        <v>11.24</v>
      </c>
      <c r="G77">
        <v>1.29</v>
      </c>
      <c r="H77">
        <v>-5.18</v>
      </c>
      <c r="J77">
        <f t="shared" si="14"/>
        <v>0.59965103553210142</v>
      </c>
      <c r="K77">
        <f t="shared" si="15"/>
        <v>1.0944084029052739</v>
      </c>
      <c r="L77">
        <f t="shared" si="16"/>
        <v>2.4211718274986018</v>
      </c>
      <c r="M77">
        <f t="shared" si="17"/>
        <v>11.032926230743827</v>
      </c>
      <c r="N77">
        <f t="shared" si="18"/>
        <v>14.274726942722864</v>
      </c>
      <c r="O77">
        <f t="shared" si="19"/>
        <v>0.30887390333718118</v>
      </c>
      <c r="P77">
        <f t="shared" si="20"/>
        <v>0.75017413108685982</v>
      </c>
    </row>
    <row r="78" spans="1:17">
      <c r="A78" s="4">
        <v>32843</v>
      </c>
      <c r="B78">
        <v>-6.14</v>
      </c>
      <c r="C78">
        <v>11.8</v>
      </c>
      <c r="D78">
        <v>-9.81</v>
      </c>
      <c r="E78">
        <v>-12.29</v>
      </c>
      <c r="F78">
        <v>-12.23</v>
      </c>
      <c r="G78">
        <v>-5.73</v>
      </c>
      <c r="H78">
        <v>-9.85</v>
      </c>
      <c r="J78">
        <f t="shared" si="14"/>
        <v>0.56283246195043035</v>
      </c>
      <c r="K78">
        <f t="shared" si="15"/>
        <v>1.2235485944480964</v>
      </c>
      <c r="L78">
        <f t="shared" si="16"/>
        <v>2.1836548712209889</v>
      </c>
      <c r="M78">
        <f t="shared" si="17"/>
        <v>9.6769795969854115</v>
      </c>
      <c r="N78">
        <f t="shared" si="18"/>
        <v>12.528927837627858</v>
      </c>
      <c r="O78">
        <f t="shared" si="19"/>
        <v>0.29117542867596069</v>
      </c>
      <c r="P78">
        <f t="shared" si="20"/>
        <v>0.67628197917480415</v>
      </c>
    </row>
    <row r="79" spans="1:17">
      <c r="A79" s="4">
        <v>32874</v>
      </c>
      <c r="B79">
        <v>16.989999999999998</v>
      </c>
      <c r="C79">
        <v>1.51</v>
      </c>
      <c r="D79">
        <v>26.87</v>
      </c>
      <c r="E79">
        <v>34.4</v>
      </c>
      <c r="F79">
        <v>28.48</v>
      </c>
      <c r="G79">
        <v>16.22</v>
      </c>
      <c r="H79">
        <v>25.26</v>
      </c>
      <c r="J79">
        <f t="shared" si="14"/>
        <v>0.65845769723580838</v>
      </c>
      <c r="K79">
        <f t="shared" si="15"/>
        <v>1.2420241782242625</v>
      </c>
      <c r="L79">
        <f t="shared" si="16"/>
        <v>2.7704029351180686</v>
      </c>
      <c r="M79">
        <f t="shared" si="17"/>
        <v>13.005860578348392</v>
      </c>
      <c r="N79">
        <f t="shared" si="18"/>
        <v>16.097166485784271</v>
      </c>
      <c r="O79">
        <f t="shared" si="19"/>
        <v>0.3384040832072015</v>
      </c>
      <c r="P79">
        <f t="shared" si="20"/>
        <v>0.8471108071143596</v>
      </c>
    </row>
    <row r="80" spans="1:17">
      <c r="A80" s="4">
        <v>32905</v>
      </c>
      <c r="B80">
        <v>-8.94</v>
      </c>
      <c r="C80">
        <v>6.44</v>
      </c>
      <c r="D80">
        <v>-10.92</v>
      </c>
      <c r="E80">
        <v>-14.69</v>
      </c>
      <c r="F80">
        <v>-5.19</v>
      </c>
      <c r="G80">
        <v>16.28</v>
      </c>
      <c r="H80">
        <v>-4.41</v>
      </c>
      <c r="J80">
        <f t="shared" si="14"/>
        <v>0.59959157910292704</v>
      </c>
      <c r="K80">
        <f t="shared" si="15"/>
        <v>1.3220105353019049</v>
      </c>
      <c r="L80">
        <f t="shared" si="16"/>
        <v>2.4678749346031754</v>
      </c>
      <c r="M80">
        <f t="shared" si="17"/>
        <v>11.095299659389012</v>
      </c>
      <c r="N80">
        <f t="shared" si="18"/>
        <v>15.261723545172066</v>
      </c>
      <c r="O80">
        <f t="shared" si="19"/>
        <v>0.39349626795333392</v>
      </c>
      <c r="P80">
        <f t="shared" si="20"/>
        <v>0.80975322052061627</v>
      </c>
    </row>
    <row r="81" spans="1:16">
      <c r="A81" s="4">
        <v>32933</v>
      </c>
      <c r="B81">
        <v>-7.36</v>
      </c>
      <c r="C81">
        <v>-9.3000000000000007</v>
      </c>
      <c r="D81">
        <v>0</v>
      </c>
      <c r="E81">
        <v>-1.67</v>
      </c>
      <c r="F81">
        <v>0</v>
      </c>
      <c r="G81">
        <v>-13.5</v>
      </c>
      <c r="H81">
        <v>2.17</v>
      </c>
      <c r="J81">
        <f t="shared" si="14"/>
        <v>0.55546163888095157</v>
      </c>
      <c r="K81">
        <f t="shared" si="15"/>
        <v>1.1990635555188278</v>
      </c>
      <c r="L81">
        <f t="shared" si="16"/>
        <v>2.4678749346031754</v>
      </c>
      <c r="M81">
        <f t="shared" si="17"/>
        <v>10.910008155077215</v>
      </c>
      <c r="N81">
        <f t="shared" si="18"/>
        <v>15.261723545172066</v>
      </c>
      <c r="O81">
        <f t="shared" si="19"/>
        <v>0.34037427177963386</v>
      </c>
      <c r="P81">
        <f t="shared" si="20"/>
        <v>0.82732486540591366</v>
      </c>
    </row>
    <row r="82" spans="1:16">
      <c r="A82" s="4">
        <v>32964</v>
      </c>
      <c r="B82">
        <v>-15.89</v>
      </c>
      <c r="C82">
        <v>-2.0499999999999998</v>
      </c>
      <c r="D82">
        <v>-0.94</v>
      </c>
      <c r="E82">
        <v>2.83</v>
      </c>
      <c r="F82">
        <v>-3.98</v>
      </c>
      <c r="G82">
        <v>-10.4</v>
      </c>
      <c r="H82">
        <v>-7.18</v>
      </c>
      <c r="J82">
        <f t="shared" si="14"/>
        <v>0.46719878446276836</v>
      </c>
      <c r="K82">
        <f t="shared" si="15"/>
        <v>1.1744827526306918</v>
      </c>
      <c r="L82">
        <f t="shared" si="16"/>
        <v>2.4446769102179058</v>
      </c>
      <c r="M82">
        <f t="shared" si="17"/>
        <v>11.2187613858659</v>
      </c>
      <c r="N82">
        <f t="shared" si="18"/>
        <v>14.654306948074217</v>
      </c>
      <c r="O82">
        <f t="shared" si="19"/>
        <v>0.30497534751455196</v>
      </c>
      <c r="P82">
        <f t="shared" si="20"/>
        <v>0.76792294006976902</v>
      </c>
    </row>
    <row r="83" spans="1:16">
      <c r="A83" s="4">
        <v>32994</v>
      </c>
      <c r="B83">
        <v>-15.35</v>
      </c>
      <c r="C83">
        <v>-4.71</v>
      </c>
      <c r="D83">
        <v>-0.95</v>
      </c>
      <c r="E83">
        <v>-1.65</v>
      </c>
      <c r="F83">
        <v>-1.55</v>
      </c>
      <c r="G83">
        <v>-3.23</v>
      </c>
      <c r="H83">
        <v>-6.18</v>
      </c>
      <c r="J83">
        <f t="shared" si="14"/>
        <v>0.39548377104773341</v>
      </c>
      <c r="K83">
        <f t="shared" si="15"/>
        <v>1.1191646149817862</v>
      </c>
      <c r="L83">
        <f t="shared" si="16"/>
        <v>2.4214524795708359</v>
      </c>
      <c r="M83">
        <f t="shared" si="17"/>
        <v>11.033651822999113</v>
      </c>
      <c r="N83">
        <f t="shared" si="18"/>
        <v>14.427165190379068</v>
      </c>
      <c r="O83">
        <f t="shared" si="19"/>
        <v>0.29512464378983194</v>
      </c>
      <c r="P83">
        <f t="shared" si="20"/>
        <v>0.72046530237345729</v>
      </c>
    </row>
    <row r="84" spans="1:16">
      <c r="A84" s="4">
        <v>33025</v>
      </c>
      <c r="B84">
        <v>-9.3000000000000007</v>
      </c>
      <c r="C84">
        <v>-5.49</v>
      </c>
      <c r="D84">
        <v>-12.12</v>
      </c>
      <c r="E84">
        <v>0.11</v>
      </c>
      <c r="F84">
        <v>-4.74</v>
      </c>
      <c r="G84">
        <v>-3.04</v>
      </c>
      <c r="H84">
        <v>-3.28</v>
      </c>
      <c r="J84">
        <f t="shared" si="14"/>
        <v>0.35870378034029421</v>
      </c>
      <c r="K84">
        <f t="shared" si="15"/>
        <v>1.0577224776192862</v>
      </c>
      <c r="L84">
        <f t="shared" si="16"/>
        <v>2.1279724390468506</v>
      </c>
      <c r="M84">
        <f t="shared" si="17"/>
        <v>11.045788840004413</v>
      </c>
      <c r="N84">
        <f t="shared" si="18"/>
        <v>13.7433175603551</v>
      </c>
      <c r="O84">
        <f t="shared" si="19"/>
        <v>0.28615285461862106</v>
      </c>
      <c r="P84">
        <f t="shared" si="20"/>
        <v>0.69683404045560793</v>
      </c>
    </row>
    <row r="85" spans="1:16">
      <c r="A85" s="4">
        <v>33055</v>
      </c>
      <c r="B85">
        <v>-18.13</v>
      </c>
      <c r="C85">
        <v>-12.41</v>
      </c>
      <c r="D85">
        <v>-2.11</v>
      </c>
      <c r="E85">
        <v>3.12</v>
      </c>
      <c r="F85">
        <v>8.31</v>
      </c>
      <c r="G85">
        <v>-2.94</v>
      </c>
      <c r="H85">
        <v>-10.86</v>
      </c>
      <c r="J85">
        <f t="shared" si="14"/>
        <v>0.29367078496459886</v>
      </c>
      <c r="K85">
        <f t="shared" si="15"/>
        <v>0.92645911814673276</v>
      </c>
      <c r="L85">
        <f t="shared" si="16"/>
        <v>2.0830722205829622</v>
      </c>
      <c r="M85">
        <f t="shared" si="17"/>
        <v>11.390417451812549</v>
      </c>
      <c r="N85">
        <f t="shared" si="18"/>
        <v>14.885387249620608</v>
      </c>
      <c r="O85">
        <f t="shared" si="19"/>
        <v>0.27773996069283358</v>
      </c>
      <c r="P85">
        <f t="shared" si="20"/>
        <v>0.62115786366212888</v>
      </c>
    </row>
    <row r="86" spans="1:16">
      <c r="A86" s="4">
        <v>33086</v>
      </c>
      <c r="B86">
        <v>19.350000000000001</v>
      </c>
      <c r="C86">
        <v>-7.52</v>
      </c>
      <c r="D86">
        <v>2.31</v>
      </c>
      <c r="E86">
        <v>-3.03</v>
      </c>
      <c r="F86">
        <v>-17.59</v>
      </c>
      <c r="G86">
        <v>16.670000000000002</v>
      </c>
      <c r="H86">
        <v>3.59</v>
      </c>
      <c r="J86">
        <f t="shared" si="14"/>
        <v>0.35049608185524872</v>
      </c>
      <c r="K86">
        <f t="shared" si="15"/>
        <v>0.85678939246209851</v>
      </c>
      <c r="L86">
        <f t="shared" si="16"/>
        <v>2.1311911888784283</v>
      </c>
      <c r="M86">
        <f t="shared" si="17"/>
        <v>11.04528780302263</v>
      </c>
      <c r="N86">
        <f t="shared" si="18"/>
        <v>12.267047632412345</v>
      </c>
      <c r="O86">
        <f t="shared" si="19"/>
        <v>0.32403921214032894</v>
      </c>
      <c r="P86">
        <f t="shared" si="20"/>
        <v>0.64345743096759933</v>
      </c>
    </row>
    <row r="87" spans="1:16">
      <c r="A87" s="4">
        <v>33117</v>
      </c>
      <c r="B87">
        <v>-18.38</v>
      </c>
      <c r="C87">
        <v>-1.22</v>
      </c>
      <c r="D87">
        <v>-32.409999999999997</v>
      </c>
      <c r="E87">
        <v>-27.03</v>
      </c>
      <c r="F87">
        <v>-18.350000000000001</v>
      </c>
      <c r="G87">
        <v>0.65</v>
      </c>
      <c r="H87">
        <v>-19.350000000000001</v>
      </c>
      <c r="J87">
        <f t="shared" si="14"/>
        <v>0.28607490201025404</v>
      </c>
      <c r="K87">
        <f t="shared" si="15"/>
        <v>0.84633656187406092</v>
      </c>
      <c r="L87">
        <f t="shared" si="16"/>
        <v>1.4404721245629297</v>
      </c>
      <c r="M87">
        <f t="shared" si="17"/>
        <v>8.0597465098656134</v>
      </c>
      <c r="N87">
        <f t="shared" si="18"/>
        <v>10.01604439186468</v>
      </c>
      <c r="O87">
        <f t="shared" si="19"/>
        <v>0.32614546701924108</v>
      </c>
      <c r="P87">
        <f t="shared" si="20"/>
        <v>0.51894841807536884</v>
      </c>
    </row>
    <row r="88" spans="1:16">
      <c r="A88" s="4">
        <v>33147</v>
      </c>
      <c r="B88">
        <v>-5.96</v>
      </c>
      <c r="C88">
        <v>10.7</v>
      </c>
      <c r="D88">
        <v>5.58</v>
      </c>
      <c r="E88">
        <v>30.62</v>
      </c>
      <c r="F88">
        <v>17.43</v>
      </c>
      <c r="G88">
        <v>-1.29</v>
      </c>
      <c r="H88">
        <v>7.33</v>
      </c>
      <c r="J88">
        <f t="shared" si="14"/>
        <v>0.2690248378504429</v>
      </c>
      <c r="K88">
        <f t="shared" si="15"/>
        <v>0.93689457399458542</v>
      </c>
      <c r="L88">
        <f t="shared" si="16"/>
        <v>1.5208504691135414</v>
      </c>
      <c r="M88">
        <f t="shared" si="17"/>
        <v>10.527640891186465</v>
      </c>
      <c r="N88">
        <f t="shared" si="18"/>
        <v>11.761840929366695</v>
      </c>
      <c r="O88">
        <f t="shared" si="19"/>
        <v>0.32193819049469286</v>
      </c>
      <c r="P88">
        <f t="shared" si="20"/>
        <v>0.55698733712029336</v>
      </c>
    </row>
    <row r="89" spans="1:16">
      <c r="A89" s="4">
        <v>33178</v>
      </c>
      <c r="B89">
        <v>-1.41</v>
      </c>
      <c r="C89">
        <v>-1.86</v>
      </c>
      <c r="D89">
        <v>39.08</v>
      </c>
      <c r="E89">
        <v>19.670000000000002</v>
      </c>
      <c r="F89">
        <v>13.28</v>
      </c>
      <c r="G89">
        <v>-0.65</v>
      </c>
      <c r="H89">
        <v>13.77</v>
      </c>
      <c r="J89">
        <f t="shared" si="14"/>
        <v>0.26523158763675164</v>
      </c>
      <c r="K89">
        <f t="shared" si="15"/>
        <v>0.91946833491828617</v>
      </c>
      <c r="L89">
        <f t="shared" si="16"/>
        <v>2.1151988324431135</v>
      </c>
      <c r="M89">
        <f t="shared" si="17"/>
        <v>12.598427854482843</v>
      </c>
      <c r="N89">
        <f t="shared" si="18"/>
        <v>13.323813404786593</v>
      </c>
      <c r="O89">
        <f t="shared" si="19"/>
        <v>0.31984559225647735</v>
      </c>
      <c r="P89">
        <f t="shared" si="20"/>
        <v>0.6336844934417577</v>
      </c>
    </row>
    <row r="90" spans="1:16">
      <c r="A90" s="2">
        <v>33208</v>
      </c>
      <c r="B90" s="1">
        <v>22.14</v>
      </c>
      <c r="C90" s="1">
        <v>3.41</v>
      </c>
      <c r="D90" s="1">
        <v>29.11</v>
      </c>
      <c r="E90" s="1">
        <v>19.86</v>
      </c>
      <c r="F90" s="1">
        <v>10.34</v>
      </c>
      <c r="G90" s="1">
        <v>9.8699999999999992</v>
      </c>
      <c r="H90" s="1">
        <v>25</v>
      </c>
      <c r="J90">
        <f t="shared" si="14"/>
        <v>0.32395386113952845</v>
      </c>
      <c r="K90">
        <f t="shared" si="15"/>
        <v>0.95082220513899973</v>
      </c>
      <c r="L90">
        <f t="shared" si="16"/>
        <v>2.7309332125673036</v>
      </c>
      <c r="M90">
        <f t="shared" si="17"/>
        <v>15.100475626383133</v>
      </c>
      <c r="N90">
        <f t="shared" si="18"/>
        <v>14.701495710841526</v>
      </c>
      <c r="O90">
        <f t="shared" si="19"/>
        <v>0.35141435221219169</v>
      </c>
      <c r="P90">
        <f t="shared" si="20"/>
        <v>0.79210561680219715</v>
      </c>
    </row>
    <row r="91" spans="1:16">
      <c r="A91" s="2">
        <v>33239</v>
      </c>
      <c r="B91" s="1">
        <v>2.92</v>
      </c>
      <c r="C91" s="1">
        <v>22.34</v>
      </c>
      <c r="D91" s="1">
        <v>-8.6300000000000008</v>
      </c>
      <c r="E91" s="1">
        <v>0</v>
      </c>
      <c r="F91" s="1">
        <v>10.63</v>
      </c>
      <c r="G91" s="1">
        <v>1.2</v>
      </c>
      <c r="H91" s="1">
        <v>5.78</v>
      </c>
      <c r="J91">
        <f t="shared" si="14"/>
        <v>0.33341331388480266</v>
      </c>
      <c r="K91">
        <f t="shared" si="15"/>
        <v>1.1632358857670524</v>
      </c>
      <c r="L91">
        <f t="shared" si="16"/>
        <v>2.4952536763227453</v>
      </c>
      <c r="M91">
        <f t="shared" si="17"/>
        <v>15.100475626383133</v>
      </c>
      <c r="N91">
        <f t="shared" si="18"/>
        <v>16.264264704903979</v>
      </c>
      <c r="O91">
        <f t="shared" si="19"/>
        <v>0.35563132443873802</v>
      </c>
      <c r="P91">
        <f t="shared" si="20"/>
        <v>0.83788932145336426</v>
      </c>
    </row>
    <row r="92" spans="1:16">
      <c r="A92" s="2">
        <v>33270</v>
      </c>
      <c r="B92" s="1">
        <v>-9.09</v>
      </c>
      <c r="C92" s="1">
        <v>10.18</v>
      </c>
      <c r="D92" s="1">
        <v>-4.08</v>
      </c>
      <c r="E92" s="1">
        <v>-6.29</v>
      </c>
      <c r="F92" s="1">
        <v>-9.6</v>
      </c>
      <c r="G92" s="1">
        <v>-7.1</v>
      </c>
      <c r="H92" s="1">
        <v>-3</v>
      </c>
      <c r="J92">
        <f t="shared" si="14"/>
        <v>0.30310604365267413</v>
      </c>
      <c r="K92">
        <f t="shared" si="15"/>
        <v>1.2816532989381382</v>
      </c>
      <c r="L92">
        <f t="shared" si="16"/>
        <v>2.3934473263287774</v>
      </c>
      <c r="M92">
        <f t="shared" si="17"/>
        <v>14.150655709483635</v>
      </c>
      <c r="N92">
        <f t="shared" si="18"/>
        <v>14.702895293233198</v>
      </c>
      <c r="O92">
        <f t="shared" si="19"/>
        <v>0.33038150040358766</v>
      </c>
      <c r="P92">
        <f t="shared" si="20"/>
        <v>0.81275264180976325</v>
      </c>
    </row>
    <row r="93" spans="1:16">
      <c r="A93" s="2">
        <v>33298</v>
      </c>
      <c r="B93" s="1">
        <v>27.5</v>
      </c>
      <c r="C93" s="1">
        <v>-11.41</v>
      </c>
      <c r="D93" s="1">
        <v>17.45</v>
      </c>
      <c r="E93" s="1">
        <v>17.68</v>
      </c>
      <c r="F93" s="1">
        <v>0.63</v>
      </c>
      <c r="G93" s="1">
        <v>8.92</v>
      </c>
      <c r="H93" s="1">
        <v>8.2799999999999994</v>
      </c>
      <c r="J93">
        <f t="shared" si="14"/>
        <v>0.38646020565715949</v>
      </c>
      <c r="K93">
        <f t="shared" si="15"/>
        <v>1.1354166575292965</v>
      </c>
      <c r="L93">
        <f t="shared" si="16"/>
        <v>2.8111038847731495</v>
      </c>
      <c r="M93">
        <f t="shared" si="17"/>
        <v>16.652491638920342</v>
      </c>
      <c r="N93">
        <f t="shared" si="18"/>
        <v>14.795523533580566</v>
      </c>
      <c r="O93">
        <f t="shared" si="19"/>
        <v>0.35985153023958766</v>
      </c>
      <c r="P93">
        <f t="shared" si="20"/>
        <v>0.88004856055161162</v>
      </c>
    </row>
    <row r="94" spans="1:16">
      <c r="A94" s="2">
        <v>33329</v>
      </c>
      <c r="B94" s="1">
        <v>7.84</v>
      </c>
      <c r="C94" s="1">
        <v>-3.07</v>
      </c>
      <c r="D94" s="1">
        <v>0.95</v>
      </c>
      <c r="E94" s="1">
        <v>-9.33</v>
      </c>
      <c r="F94" s="1">
        <v>-5.59</v>
      </c>
      <c r="G94" s="1">
        <v>16.96</v>
      </c>
      <c r="H94" s="1">
        <v>-1.65</v>
      </c>
      <c r="J94">
        <f t="shared" si="14"/>
        <v>0.41675868578068082</v>
      </c>
      <c r="K94">
        <f t="shared" si="15"/>
        <v>1.1005593661431472</v>
      </c>
      <c r="L94">
        <f t="shared" si="16"/>
        <v>2.8378093716784947</v>
      </c>
      <c r="M94">
        <f t="shared" si="17"/>
        <v>15.098814169009074</v>
      </c>
      <c r="N94">
        <f t="shared" si="18"/>
        <v>13.968453768053413</v>
      </c>
      <c r="O94">
        <f t="shared" si="19"/>
        <v>0.4208823497682217</v>
      </c>
      <c r="P94">
        <f t="shared" si="20"/>
        <v>0.86552775930251002</v>
      </c>
    </row>
    <row r="95" spans="1:16">
      <c r="A95" s="2">
        <v>33359</v>
      </c>
      <c r="B95" s="1">
        <v>-9.09</v>
      </c>
      <c r="C95" s="1">
        <v>5.0599999999999996</v>
      </c>
      <c r="D95" s="1">
        <v>-14.53</v>
      </c>
      <c r="E95" s="1">
        <v>-2.29</v>
      </c>
      <c r="F95" s="1">
        <v>1.97</v>
      </c>
      <c r="G95" s="1">
        <v>-9.5</v>
      </c>
      <c r="H95" s="1">
        <v>-6.43</v>
      </c>
      <c r="J95">
        <f t="shared" si="14"/>
        <v>0.37887532124321693</v>
      </c>
      <c r="K95">
        <f t="shared" si="15"/>
        <v>1.1562476700699904</v>
      </c>
      <c r="L95">
        <f t="shared" si="16"/>
        <v>2.4254756699736095</v>
      </c>
      <c r="M95">
        <f t="shared" si="17"/>
        <v>14.753051324538767</v>
      </c>
      <c r="N95">
        <f t="shared" si="18"/>
        <v>14.243632307284066</v>
      </c>
      <c r="O95">
        <f t="shared" si="19"/>
        <v>0.38089852654024065</v>
      </c>
      <c r="P95">
        <f t="shared" si="20"/>
        <v>0.80987432437935858</v>
      </c>
    </row>
    <row r="96" spans="1:16">
      <c r="A96" s="2">
        <v>33390</v>
      </c>
      <c r="B96" s="1">
        <v>10</v>
      </c>
      <c r="C96" s="1">
        <v>3.61</v>
      </c>
      <c r="D96" s="1">
        <v>-11.48</v>
      </c>
      <c r="E96" s="1">
        <v>-12.51</v>
      </c>
      <c r="F96" s="1">
        <v>-11.94</v>
      </c>
      <c r="G96" s="1">
        <v>-1.66</v>
      </c>
      <c r="H96" s="1">
        <v>-9.1999999999999993</v>
      </c>
      <c r="J96">
        <f t="shared" si="14"/>
        <v>0.41676285336753865</v>
      </c>
      <c r="K96">
        <f t="shared" si="15"/>
        <v>1.197988210959517</v>
      </c>
      <c r="L96">
        <f t="shared" si="16"/>
        <v>2.1470310630606391</v>
      </c>
      <c r="M96">
        <f t="shared" si="17"/>
        <v>12.907444603838966</v>
      </c>
      <c r="N96">
        <f t="shared" si="18"/>
        <v>12.54294260979435</v>
      </c>
      <c r="O96">
        <f t="shared" si="19"/>
        <v>0.37457561099967268</v>
      </c>
      <c r="P96">
        <f t="shared" si="20"/>
        <v>0.73536588653645762</v>
      </c>
    </row>
    <row r="97" spans="1:16">
      <c r="A97" s="2">
        <v>33420</v>
      </c>
      <c r="B97" s="1">
        <v>6.64</v>
      </c>
      <c r="C97" s="1">
        <v>-3.74</v>
      </c>
      <c r="D97" s="1">
        <v>-19.45</v>
      </c>
      <c r="E97" s="1">
        <v>-25.74</v>
      </c>
      <c r="F97" s="1">
        <v>17.420000000000002</v>
      </c>
      <c r="G97" s="1">
        <v>-4.49</v>
      </c>
      <c r="H97" s="1">
        <v>-4.1399999999999997</v>
      </c>
      <c r="J97">
        <f t="shared" si="14"/>
        <v>0.4444359068311432</v>
      </c>
      <c r="K97">
        <f t="shared" si="15"/>
        <v>1.1531834518696311</v>
      </c>
      <c r="L97">
        <f t="shared" si="16"/>
        <v>1.7294335212953447</v>
      </c>
      <c r="M97">
        <f t="shared" si="17"/>
        <v>9.5850683628108175</v>
      </c>
      <c r="N97">
        <f t="shared" si="18"/>
        <v>14.727923212420524</v>
      </c>
      <c r="O97">
        <f t="shared" si="19"/>
        <v>0.35775716606578734</v>
      </c>
      <c r="P97">
        <f t="shared" si="20"/>
        <v>0.70492173883384823</v>
      </c>
    </row>
    <row r="98" spans="1:16">
      <c r="A98" s="2">
        <v>33451</v>
      </c>
      <c r="B98" s="1">
        <v>-11.3</v>
      </c>
      <c r="C98" s="1">
        <v>2.58</v>
      </c>
      <c r="D98" s="1">
        <v>0.05</v>
      </c>
      <c r="E98" s="1">
        <v>-1.19</v>
      </c>
      <c r="F98" s="1">
        <v>-5.8</v>
      </c>
      <c r="G98" s="1">
        <v>-11.18</v>
      </c>
      <c r="H98" s="1">
        <v>-3.55</v>
      </c>
      <c r="J98">
        <f t="shared" si="14"/>
        <v>0.39421464935922401</v>
      </c>
      <c r="K98">
        <f t="shared" si="15"/>
        <v>1.1829355849278675</v>
      </c>
      <c r="L98">
        <f t="shared" si="16"/>
        <v>1.7302982380559921</v>
      </c>
      <c r="M98">
        <f t="shared" si="17"/>
        <v>9.4710060492933685</v>
      </c>
      <c r="N98">
        <f t="shared" si="18"/>
        <v>13.873703666100134</v>
      </c>
      <c r="O98">
        <f t="shared" si="19"/>
        <v>0.31775991489963229</v>
      </c>
      <c r="P98">
        <f t="shared" si="20"/>
        <v>0.67989701710524664</v>
      </c>
    </row>
    <row r="99" spans="1:16">
      <c r="A99" s="2">
        <v>33482</v>
      </c>
      <c r="B99" s="1">
        <v>-26.96</v>
      </c>
      <c r="C99" s="1">
        <v>-5.66</v>
      </c>
      <c r="D99" s="1">
        <v>-15.66</v>
      </c>
      <c r="E99" s="1">
        <v>-17.64</v>
      </c>
      <c r="F99" s="1">
        <v>-10.38</v>
      </c>
      <c r="G99" s="1">
        <v>-0.66</v>
      </c>
      <c r="H99" s="1">
        <v>-12.03</v>
      </c>
      <c r="J99">
        <f t="shared" ref="J99:J130" si="21">J98*(1+B99/100)</f>
        <v>0.28793437989197718</v>
      </c>
      <c r="K99">
        <f t="shared" ref="K99:K130" si="22">K98*(1+C99/100)</f>
        <v>1.1159814308209504</v>
      </c>
      <c r="L99">
        <f t="shared" ref="L99:L130" si="23">L98*(1+D99/100)</f>
        <v>1.4593335339764237</v>
      </c>
      <c r="M99">
        <f t="shared" ref="M99:M130" si="24">M98*(1+E99/100)</f>
        <v>7.8003205821980179</v>
      </c>
      <c r="N99">
        <f t="shared" ref="N99:N130" si="25">N98*(1+F99/100)</f>
        <v>12.43361322555894</v>
      </c>
      <c r="O99">
        <f t="shared" ref="O99:O130" si="26">O98*(1+G99/100)</f>
        <v>0.31566269946129472</v>
      </c>
      <c r="P99">
        <f t="shared" ref="P99:P130" si="27">P98*(1+H99/100)</f>
        <v>0.59810540594748551</v>
      </c>
    </row>
    <row r="100" spans="1:16">
      <c r="A100" s="2">
        <v>33512</v>
      </c>
      <c r="B100" s="1">
        <v>10.74</v>
      </c>
      <c r="C100" s="1">
        <v>24.67</v>
      </c>
      <c r="D100" s="1">
        <v>6.33</v>
      </c>
      <c r="E100" s="1">
        <v>13.14</v>
      </c>
      <c r="F100" s="1">
        <v>7.73</v>
      </c>
      <c r="G100" s="1">
        <v>4</v>
      </c>
      <c r="H100" s="1">
        <v>9.24</v>
      </c>
      <c r="J100">
        <f t="shared" si="21"/>
        <v>0.31885853229237549</v>
      </c>
      <c r="K100">
        <f t="shared" si="22"/>
        <v>1.391294049804479</v>
      </c>
      <c r="L100">
        <f t="shared" si="23"/>
        <v>1.5517093466771312</v>
      </c>
      <c r="M100">
        <f t="shared" si="24"/>
        <v>8.8252827066988377</v>
      </c>
      <c r="N100">
        <f t="shared" si="25"/>
        <v>13.394731527894645</v>
      </c>
      <c r="O100">
        <f t="shared" si="26"/>
        <v>0.32828920743974649</v>
      </c>
      <c r="P100">
        <f t="shared" si="27"/>
        <v>0.65337034545703321</v>
      </c>
    </row>
    <row r="101" spans="1:16">
      <c r="A101" s="2">
        <v>33543</v>
      </c>
      <c r="B101" s="1">
        <v>26.67</v>
      </c>
      <c r="C101" s="1">
        <v>3.21</v>
      </c>
      <c r="D101" s="1">
        <v>1.98</v>
      </c>
      <c r="E101" s="1">
        <v>8.6</v>
      </c>
      <c r="F101" s="1">
        <v>3.98</v>
      </c>
      <c r="G101" s="1">
        <v>1.28</v>
      </c>
      <c r="H101" s="1">
        <v>1.48</v>
      </c>
      <c r="J101">
        <f t="shared" si="21"/>
        <v>0.40389810285475203</v>
      </c>
      <c r="K101">
        <f t="shared" si="22"/>
        <v>1.4359545888032028</v>
      </c>
      <c r="L101">
        <f t="shared" si="23"/>
        <v>1.5824331917413386</v>
      </c>
      <c r="M101">
        <f t="shared" si="24"/>
        <v>9.5842570194749381</v>
      </c>
      <c r="N101">
        <f t="shared" si="25"/>
        <v>13.927841842704852</v>
      </c>
      <c r="O101">
        <f t="shared" si="26"/>
        <v>0.33249130929497522</v>
      </c>
      <c r="P101">
        <f t="shared" si="27"/>
        <v>0.66304022656979722</v>
      </c>
    </row>
    <row r="102" spans="1:16">
      <c r="A102" s="2">
        <v>33573</v>
      </c>
      <c r="B102" s="1">
        <v>0</v>
      </c>
      <c r="C102" s="1">
        <v>0.52</v>
      </c>
      <c r="D102" s="1">
        <v>-17.899999999999999</v>
      </c>
      <c r="E102" s="1">
        <v>-15.64</v>
      </c>
      <c r="F102" s="1">
        <v>-8.0500000000000007</v>
      </c>
      <c r="G102" s="1">
        <v>-4.43</v>
      </c>
      <c r="H102" s="1">
        <v>-4.18</v>
      </c>
      <c r="J102">
        <f t="shared" si="21"/>
        <v>0.40389810285475203</v>
      </c>
      <c r="K102">
        <f t="shared" si="22"/>
        <v>1.4434215526649796</v>
      </c>
      <c r="L102">
        <f t="shared" si="23"/>
        <v>1.2991776504196388</v>
      </c>
      <c r="M102">
        <f t="shared" si="24"/>
        <v>8.0852792216290581</v>
      </c>
      <c r="N102">
        <f t="shared" si="25"/>
        <v>12.806650574367112</v>
      </c>
      <c r="O102">
        <f t="shared" si="26"/>
        <v>0.31776194429320781</v>
      </c>
      <c r="P102">
        <f t="shared" si="27"/>
        <v>0.6353251450991797</v>
      </c>
    </row>
    <row r="103" spans="1:16">
      <c r="A103" s="2">
        <v>33604</v>
      </c>
      <c r="B103" s="1">
        <v>49.28</v>
      </c>
      <c r="C103" s="1">
        <v>21.13</v>
      </c>
      <c r="D103" s="1">
        <v>1.9</v>
      </c>
      <c r="E103" s="1">
        <v>11.97</v>
      </c>
      <c r="F103" s="1">
        <v>-0.83</v>
      </c>
      <c r="G103" s="1">
        <v>19.21</v>
      </c>
      <c r="H103" s="1">
        <v>12.64</v>
      </c>
      <c r="J103">
        <f t="shared" si="21"/>
        <v>0.6029390879415738</v>
      </c>
      <c r="K103">
        <f t="shared" si="22"/>
        <v>1.7484165267430898</v>
      </c>
      <c r="L103">
        <f t="shared" si="23"/>
        <v>1.3238620257776119</v>
      </c>
      <c r="M103">
        <f t="shared" si="24"/>
        <v>9.0530871444580558</v>
      </c>
      <c r="N103">
        <f t="shared" si="25"/>
        <v>12.700355374599864</v>
      </c>
      <c r="O103">
        <f t="shared" si="26"/>
        <v>0.37880401379193301</v>
      </c>
      <c r="P103">
        <f t="shared" si="27"/>
        <v>0.71563024343971604</v>
      </c>
    </row>
    <row r="104" spans="1:16">
      <c r="A104" s="2">
        <v>33635</v>
      </c>
      <c r="B104" s="1">
        <v>-21.47</v>
      </c>
      <c r="C104" s="1">
        <v>-8.08</v>
      </c>
      <c r="D104" s="1">
        <v>-8.3699999999999992</v>
      </c>
      <c r="E104" s="1">
        <v>-11.95</v>
      </c>
      <c r="F104" s="1">
        <v>-5.88</v>
      </c>
      <c r="G104" s="1">
        <v>-11.67</v>
      </c>
      <c r="H104" s="1">
        <v>-11.62</v>
      </c>
      <c r="J104">
        <f t="shared" si="21"/>
        <v>0.47348806576051788</v>
      </c>
      <c r="K104">
        <f t="shared" si="22"/>
        <v>1.6071444713822483</v>
      </c>
      <c r="L104">
        <f t="shared" si="23"/>
        <v>1.2130547742200257</v>
      </c>
      <c r="M104">
        <f t="shared" si="24"/>
        <v>7.9712432306953191</v>
      </c>
      <c r="N104">
        <f t="shared" si="25"/>
        <v>11.953574478573392</v>
      </c>
      <c r="O104">
        <f t="shared" si="26"/>
        <v>0.33459758538241441</v>
      </c>
      <c r="P104">
        <f t="shared" si="27"/>
        <v>0.63247400915202101</v>
      </c>
    </row>
    <row r="105" spans="1:16">
      <c r="A105" s="2">
        <v>33664</v>
      </c>
      <c r="B105" s="1">
        <v>1.63</v>
      </c>
      <c r="C105" s="1">
        <v>-9.26</v>
      </c>
      <c r="D105" s="1">
        <v>-2.0299999999999998</v>
      </c>
      <c r="E105" s="1">
        <v>0.71</v>
      </c>
      <c r="F105" s="1">
        <v>-1.34</v>
      </c>
      <c r="G105" s="1">
        <v>0</v>
      </c>
      <c r="H105" s="1">
        <v>-2.5099999999999998</v>
      </c>
      <c r="J105">
        <f t="shared" si="21"/>
        <v>0.48120592123241429</v>
      </c>
      <c r="K105">
        <f t="shared" si="22"/>
        <v>1.4583228933322521</v>
      </c>
      <c r="L105">
        <f t="shared" si="23"/>
        <v>1.1884297623033593</v>
      </c>
      <c r="M105">
        <f t="shared" si="24"/>
        <v>8.0278390576332566</v>
      </c>
      <c r="N105">
        <f t="shared" si="25"/>
        <v>11.793396580560509</v>
      </c>
      <c r="O105">
        <f t="shared" si="26"/>
        <v>0.33459758538241441</v>
      </c>
      <c r="P105">
        <f t="shared" si="27"/>
        <v>0.61659891152230528</v>
      </c>
    </row>
    <row r="106" spans="1:16">
      <c r="A106" s="2">
        <v>33695</v>
      </c>
      <c r="B106" s="1">
        <v>-19.68</v>
      </c>
      <c r="C106" s="1">
        <v>-0.51</v>
      </c>
      <c r="D106" s="1">
        <v>3.63</v>
      </c>
      <c r="E106" s="1">
        <v>13</v>
      </c>
      <c r="F106" s="1">
        <v>-1.36</v>
      </c>
      <c r="G106" s="1">
        <v>-1.89</v>
      </c>
      <c r="H106" s="1">
        <v>-4.01</v>
      </c>
      <c r="J106">
        <f t="shared" si="21"/>
        <v>0.38650459593387515</v>
      </c>
      <c r="K106">
        <f t="shared" si="22"/>
        <v>1.4508854465762575</v>
      </c>
      <c r="L106">
        <f t="shared" si="23"/>
        <v>1.2315697626749713</v>
      </c>
      <c r="M106">
        <f t="shared" si="24"/>
        <v>9.0714581351255799</v>
      </c>
      <c r="N106">
        <f t="shared" si="25"/>
        <v>11.633006387064885</v>
      </c>
      <c r="O106">
        <f t="shared" si="26"/>
        <v>0.32827369101868675</v>
      </c>
      <c r="P106">
        <f t="shared" si="27"/>
        <v>0.59187329517026077</v>
      </c>
    </row>
    <row r="107" spans="1:16">
      <c r="A107" s="2">
        <v>33725</v>
      </c>
      <c r="B107" s="1">
        <v>18</v>
      </c>
      <c r="C107" s="1">
        <v>3.59</v>
      </c>
      <c r="D107" s="1">
        <v>9</v>
      </c>
      <c r="E107" s="1">
        <v>11.93</v>
      </c>
      <c r="F107" s="1">
        <v>6.42</v>
      </c>
      <c r="G107" s="1">
        <v>6.41</v>
      </c>
      <c r="H107" s="1">
        <v>9.83</v>
      </c>
      <c r="J107">
        <f t="shared" si="21"/>
        <v>0.45607542320197264</v>
      </c>
      <c r="K107">
        <f t="shared" si="22"/>
        <v>1.5029722341083451</v>
      </c>
      <c r="L107">
        <f t="shared" si="23"/>
        <v>1.3424110413157189</v>
      </c>
      <c r="M107">
        <f t="shared" si="24"/>
        <v>10.15368309064606</v>
      </c>
      <c r="N107">
        <f t="shared" si="25"/>
        <v>12.379845397114451</v>
      </c>
      <c r="O107">
        <f t="shared" si="26"/>
        <v>0.34931603461298461</v>
      </c>
      <c r="P107">
        <f t="shared" si="27"/>
        <v>0.6500544400854974</v>
      </c>
    </row>
    <row r="108" spans="1:16">
      <c r="A108" s="2">
        <v>33756</v>
      </c>
      <c r="B108" s="1">
        <v>-2.97</v>
      </c>
      <c r="C108" s="1">
        <v>18.809999999999999</v>
      </c>
      <c r="D108" s="1">
        <v>2.29</v>
      </c>
      <c r="E108" s="1">
        <v>6.54</v>
      </c>
      <c r="F108" s="1">
        <v>8.19</v>
      </c>
      <c r="G108" s="1">
        <v>10.84</v>
      </c>
      <c r="H108" s="1">
        <v>6.94</v>
      </c>
      <c r="J108">
        <f t="shared" si="21"/>
        <v>0.44252998313287406</v>
      </c>
      <c r="K108">
        <f t="shared" si="22"/>
        <v>1.7856813113441248</v>
      </c>
      <c r="L108">
        <f t="shared" si="23"/>
        <v>1.3731522541618488</v>
      </c>
      <c r="M108">
        <f t="shared" si="24"/>
        <v>10.817733964774312</v>
      </c>
      <c r="N108">
        <f t="shared" si="25"/>
        <v>13.393754735138126</v>
      </c>
      <c r="O108">
        <f t="shared" si="26"/>
        <v>0.38718189276503218</v>
      </c>
      <c r="P108">
        <f t="shared" si="27"/>
        <v>0.69516821822743091</v>
      </c>
    </row>
    <row r="109" spans="1:16">
      <c r="A109" s="2">
        <v>33786</v>
      </c>
      <c r="B109" s="1">
        <v>5.24</v>
      </c>
      <c r="C109" s="1">
        <v>7.8</v>
      </c>
      <c r="D109" s="1">
        <v>14.27</v>
      </c>
      <c r="E109" s="1">
        <v>11.79</v>
      </c>
      <c r="F109" s="1">
        <v>25.1</v>
      </c>
      <c r="G109" s="1">
        <v>5.98</v>
      </c>
      <c r="H109" s="1">
        <v>9.16</v>
      </c>
      <c r="J109">
        <f t="shared" si="21"/>
        <v>0.46571855424903669</v>
      </c>
      <c r="K109">
        <f t="shared" si="22"/>
        <v>1.9249644536289667</v>
      </c>
      <c r="L109">
        <f t="shared" si="23"/>
        <v>1.5691010808307446</v>
      </c>
      <c r="M109">
        <f t="shared" si="24"/>
        <v>12.093144799221204</v>
      </c>
      <c r="N109">
        <f t="shared" si="25"/>
        <v>16.755587173657794</v>
      </c>
      <c r="O109">
        <f t="shared" si="26"/>
        <v>0.41033536995238112</v>
      </c>
      <c r="P109">
        <f t="shared" si="27"/>
        <v>0.75884562701706348</v>
      </c>
    </row>
    <row r="110" spans="1:16">
      <c r="A110" s="2">
        <v>33817</v>
      </c>
      <c r="B110" s="1">
        <v>7.55</v>
      </c>
      <c r="C110" s="1">
        <v>12.81</v>
      </c>
      <c r="D110" s="1">
        <v>14.29</v>
      </c>
      <c r="E110" s="1">
        <v>13.56</v>
      </c>
      <c r="F110" s="1">
        <v>8.86</v>
      </c>
      <c r="G110" s="1">
        <v>41.48</v>
      </c>
      <c r="H110" s="1">
        <v>6.25</v>
      </c>
      <c r="J110">
        <f t="shared" si="21"/>
        <v>0.50088030509483894</v>
      </c>
      <c r="K110">
        <f t="shared" si="22"/>
        <v>2.1715524001388373</v>
      </c>
      <c r="L110">
        <f t="shared" si="23"/>
        <v>1.793325625281458</v>
      </c>
      <c r="M110">
        <f t="shared" si="24"/>
        <v>13.732975233995598</v>
      </c>
      <c r="N110">
        <f t="shared" si="25"/>
        <v>18.240132197243874</v>
      </c>
      <c r="O110">
        <f t="shared" si="26"/>
        <v>0.58054248140862885</v>
      </c>
      <c r="P110">
        <f t="shared" si="27"/>
        <v>0.80627347870562993</v>
      </c>
    </row>
    <row r="111" spans="1:16">
      <c r="A111" s="2">
        <v>33848</v>
      </c>
      <c r="B111" s="1">
        <v>-2.78</v>
      </c>
      <c r="C111" s="1">
        <v>-5.13</v>
      </c>
      <c r="D111" s="1">
        <v>0</v>
      </c>
      <c r="E111" s="1">
        <v>-0.75</v>
      </c>
      <c r="F111" s="1">
        <v>3.55</v>
      </c>
      <c r="G111" s="1">
        <v>1.1499999999999999</v>
      </c>
      <c r="H111" s="1">
        <v>-0.7</v>
      </c>
      <c r="J111">
        <f t="shared" si="21"/>
        <v>0.48695583261320241</v>
      </c>
      <c r="K111">
        <f t="shared" si="22"/>
        <v>2.0601517620117149</v>
      </c>
      <c r="L111">
        <f t="shared" si="23"/>
        <v>1.793325625281458</v>
      </c>
      <c r="M111">
        <f t="shared" si="24"/>
        <v>13.629977919740631</v>
      </c>
      <c r="N111">
        <f t="shared" si="25"/>
        <v>18.887656890246031</v>
      </c>
      <c r="O111">
        <f t="shared" si="26"/>
        <v>0.5872187199448281</v>
      </c>
      <c r="P111">
        <f t="shared" si="27"/>
        <v>0.80062956435469057</v>
      </c>
    </row>
    <row r="112" spans="1:16">
      <c r="A112" s="2">
        <v>33878</v>
      </c>
      <c r="B112" s="1">
        <v>39.590000000000003</v>
      </c>
      <c r="C112" s="1">
        <v>5.79</v>
      </c>
      <c r="D112" s="1">
        <v>11.07</v>
      </c>
      <c r="E112" s="1">
        <v>0.75</v>
      </c>
      <c r="F112" s="1">
        <v>4.1100000000000003</v>
      </c>
      <c r="G112" s="1">
        <v>0</v>
      </c>
      <c r="H112" s="1">
        <v>7.73</v>
      </c>
      <c r="J112">
        <f t="shared" si="21"/>
        <v>0.67974164674476933</v>
      </c>
      <c r="K112">
        <f t="shared" si="22"/>
        <v>2.1794345490321931</v>
      </c>
      <c r="L112">
        <f t="shared" si="23"/>
        <v>1.9918467720001154</v>
      </c>
      <c r="M112">
        <f t="shared" si="24"/>
        <v>13.732202754138687</v>
      </c>
      <c r="N112">
        <f t="shared" si="25"/>
        <v>19.663939588435142</v>
      </c>
      <c r="O112">
        <f t="shared" si="26"/>
        <v>0.5872187199448281</v>
      </c>
      <c r="P112">
        <f t="shared" si="27"/>
        <v>0.86251822967930813</v>
      </c>
    </row>
    <row r="113" spans="1:16">
      <c r="A113" s="2">
        <v>33909</v>
      </c>
      <c r="B113" s="1">
        <v>-11.7</v>
      </c>
      <c r="C113" s="1">
        <v>-0.36</v>
      </c>
      <c r="D113" s="1">
        <v>-3.54</v>
      </c>
      <c r="E113" s="1">
        <v>-5.22</v>
      </c>
      <c r="F113" s="1">
        <v>-13.16</v>
      </c>
      <c r="G113" s="1">
        <v>-8.7100000000000009</v>
      </c>
      <c r="H113" s="1">
        <v>-4.5199999999999996</v>
      </c>
      <c r="J113">
        <f t="shared" si="21"/>
        <v>0.60021187407563137</v>
      </c>
      <c r="K113">
        <f t="shared" si="22"/>
        <v>2.1715885846556771</v>
      </c>
      <c r="L113">
        <f t="shared" si="23"/>
        <v>1.9213353962713113</v>
      </c>
      <c r="M113">
        <f t="shared" si="24"/>
        <v>13.015381770372647</v>
      </c>
      <c r="N113">
        <f t="shared" si="25"/>
        <v>17.076165138597077</v>
      </c>
      <c r="O113">
        <f t="shared" si="26"/>
        <v>0.53607196943763358</v>
      </c>
      <c r="P113">
        <f t="shared" si="27"/>
        <v>0.82353240569780339</v>
      </c>
    </row>
    <row r="114" spans="1:16">
      <c r="A114" s="2">
        <v>33939</v>
      </c>
      <c r="B114" s="1">
        <v>10.6</v>
      </c>
      <c r="C114" s="1">
        <v>3.3</v>
      </c>
      <c r="D114" s="1">
        <v>-3</v>
      </c>
      <c r="E114" s="1">
        <v>0</v>
      </c>
      <c r="F114" s="1">
        <v>1.1399999999999999</v>
      </c>
      <c r="G114" s="1">
        <v>5.39</v>
      </c>
      <c r="H114" s="1">
        <v>2.06</v>
      </c>
      <c r="J114">
        <f t="shared" si="21"/>
        <v>0.66383433272764836</v>
      </c>
      <c r="K114">
        <f t="shared" si="22"/>
        <v>2.2432510079493144</v>
      </c>
      <c r="L114">
        <f t="shared" si="23"/>
        <v>1.8636953343831719</v>
      </c>
      <c r="M114">
        <f t="shared" si="24"/>
        <v>13.015381770372647</v>
      </c>
      <c r="N114">
        <f t="shared" si="25"/>
        <v>17.270833421177084</v>
      </c>
      <c r="O114">
        <f t="shared" si="26"/>
        <v>0.56496624859032207</v>
      </c>
      <c r="P114">
        <f t="shared" si="27"/>
        <v>0.84049717325517814</v>
      </c>
    </row>
    <row r="115" spans="1:16">
      <c r="A115" s="2">
        <v>33970</v>
      </c>
      <c r="B115" s="1">
        <v>10.18</v>
      </c>
      <c r="C115" s="1">
        <v>4.26</v>
      </c>
      <c r="D115" s="1">
        <v>8.59</v>
      </c>
      <c r="E115" s="1">
        <v>3.94</v>
      </c>
      <c r="F115" s="1">
        <v>16.100000000000001</v>
      </c>
      <c r="G115" s="1">
        <v>38.58</v>
      </c>
      <c r="H115" s="1">
        <v>8.23</v>
      </c>
      <c r="J115">
        <f t="shared" si="21"/>
        <v>0.7314126677993229</v>
      </c>
      <c r="K115">
        <f t="shared" si="22"/>
        <v>2.3388135008879551</v>
      </c>
      <c r="L115">
        <f t="shared" si="23"/>
        <v>2.0237867636066866</v>
      </c>
      <c r="M115">
        <f t="shared" si="24"/>
        <v>13.528187812125331</v>
      </c>
      <c r="N115">
        <f t="shared" si="25"/>
        <v>20.051437601986596</v>
      </c>
      <c r="O115">
        <f t="shared" si="26"/>
        <v>0.78293022729646833</v>
      </c>
      <c r="P115">
        <f t="shared" si="27"/>
        <v>0.90967009061407933</v>
      </c>
    </row>
    <row r="116" spans="1:16">
      <c r="A116" s="2">
        <v>34001</v>
      </c>
      <c r="B116" s="1">
        <v>8.6999999999999993</v>
      </c>
      <c r="C116" s="1">
        <v>15.65</v>
      </c>
      <c r="D116" s="1">
        <v>-3.8</v>
      </c>
      <c r="E116" s="1">
        <v>-3.79</v>
      </c>
      <c r="F116" s="1">
        <v>-4.5199999999999996</v>
      </c>
      <c r="G116" s="1">
        <v>14.77</v>
      </c>
      <c r="H116" s="1">
        <v>5.88</v>
      </c>
      <c r="J116">
        <f t="shared" si="21"/>
        <v>0.79504556989786401</v>
      </c>
      <c r="K116">
        <f t="shared" si="22"/>
        <v>2.7048378137769205</v>
      </c>
      <c r="L116">
        <f t="shared" si="23"/>
        <v>1.9468828665896325</v>
      </c>
      <c r="M116">
        <f t="shared" si="24"/>
        <v>13.015469494045782</v>
      </c>
      <c r="N116">
        <f t="shared" si="25"/>
        <v>19.1451126223768</v>
      </c>
      <c r="O116">
        <f t="shared" si="26"/>
        <v>0.89856902186815668</v>
      </c>
      <c r="P116">
        <f t="shared" si="27"/>
        <v>0.96315869194218717</v>
      </c>
    </row>
    <row r="117" spans="1:16">
      <c r="A117" s="2">
        <v>34029</v>
      </c>
      <c r="B117" s="1">
        <v>-8</v>
      </c>
      <c r="C117" s="1">
        <v>0.28999999999999998</v>
      </c>
      <c r="D117" s="1">
        <v>-2.63</v>
      </c>
      <c r="E117" s="1">
        <v>-5.51</v>
      </c>
      <c r="F117" s="1">
        <v>-3.72</v>
      </c>
      <c r="G117" s="1">
        <v>-10.89</v>
      </c>
      <c r="H117" s="1">
        <v>-3.38</v>
      </c>
      <c r="J117">
        <f t="shared" si="21"/>
        <v>0.73144192430603494</v>
      </c>
      <c r="K117">
        <f t="shared" si="22"/>
        <v>2.7126818434368731</v>
      </c>
      <c r="L117">
        <f t="shared" si="23"/>
        <v>1.8956798471983252</v>
      </c>
      <c r="M117">
        <f t="shared" si="24"/>
        <v>12.298317124923859</v>
      </c>
      <c r="N117">
        <f t="shared" si="25"/>
        <v>18.432914432824383</v>
      </c>
      <c r="O117">
        <f t="shared" si="26"/>
        <v>0.80071485538671439</v>
      </c>
      <c r="P117">
        <f t="shared" si="27"/>
        <v>0.93060392815454118</v>
      </c>
    </row>
    <row r="118" spans="1:16">
      <c r="A118" s="2">
        <v>34060</v>
      </c>
      <c r="B118" s="1">
        <v>-22.55</v>
      </c>
      <c r="C118" s="1">
        <v>-13.2</v>
      </c>
      <c r="D118" s="1">
        <v>0.68</v>
      </c>
      <c r="E118" s="1">
        <v>-4.17</v>
      </c>
      <c r="F118" s="1">
        <v>-8.07</v>
      </c>
      <c r="G118" s="1">
        <v>-16.11</v>
      </c>
      <c r="H118" s="1">
        <v>-6.2</v>
      </c>
      <c r="J118">
        <f t="shared" si="21"/>
        <v>0.56650177037502403</v>
      </c>
      <c r="K118">
        <f t="shared" si="22"/>
        <v>2.3546078401032058</v>
      </c>
      <c r="L118">
        <f t="shared" si="23"/>
        <v>1.9085704701592736</v>
      </c>
      <c r="M118">
        <f t="shared" si="24"/>
        <v>11.785477300814534</v>
      </c>
      <c r="N118">
        <f t="shared" si="25"/>
        <v>16.945378238095454</v>
      </c>
      <c r="O118">
        <f t="shared" si="26"/>
        <v>0.6717196921839147</v>
      </c>
      <c r="P118">
        <f t="shared" si="27"/>
        <v>0.87290648460895959</v>
      </c>
    </row>
    <row r="119" spans="1:16">
      <c r="A119" s="2">
        <v>34090</v>
      </c>
      <c r="B119" s="1">
        <v>7.37</v>
      </c>
      <c r="C119" s="1">
        <v>0</v>
      </c>
      <c r="D119" s="1">
        <v>-6.71</v>
      </c>
      <c r="E119" s="1">
        <v>-2.61</v>
      </c>
      <c r="F119" s="1">
        <v>1.91</v>
      </c>
      <c r="G119" s="1">
        <v>25.83</v>
      </c>
      <c r="H119" s="1">
        <v>-2.29</v>
      </c>
      <c r="J119">
        <f t="shared" si="21"/>
        <v>0.60825295085166331</v>
      </c>
      <c r="K119">
        <f t="shared" si="22"/>
        <v>2.3546078401032058</v>
      </c>
      <c r="L119">
        <f t="shared" si="23"/>
        <v>1.7805053916115865</v>
      </c>
      <c r="M119">
        <f t="shared" si="24"/>
        <v>11.477876343263276</v>
      </c>
      <c r="N119">
        <f t="shared" si="25"/>
        <v>17.269034962443076</v>
      </c>
      <c r="O119">
        <f t="shared" si="26"/>
        <v>0.84522488867501988</v>
      </c>
      <c r="P119">
        <f t="shared" si="27"/>
        <v>0.85291692611141434</v>
      </c>
    </row>
    <row r="120" spans="1:16">
      <c r="A120" s="2">
        <v>34121</v>
      </c>
      <c r="B120" s="1">
        <v>-0.65</v>
      </c>
      <c r="C120" s="1">
        <v>7.43</v>
      </c>
      <c r="D120" s="1">
        <v>-10.07</v>
      </c>
      <c r="E120" s="1">
        <v>-0.19</v>
      </c>
      <c r="F120" s="1">
        <v>-6.37</v>
      </c>
      <c r="G120" s="1">
        <v>-4.21</v>
      </c>
      <c r="H120" s="1">
        <v>-2.3199999999999998</v>
      </c>
      <c r="J120">
        <f t="shared" si="21"/>
        <v>0.60429930667112752</v>
      </c>
      <c r="K120">
        <f t="shared" si="22"/>
        <v>2.5295552026228743</v>
      </c>
      <c r="L120">
        <f t="shared" si="23"/>
        <v>1.6012084986762998</v>
      </c>
      <c r="M120">
        <f t="shared" si="24"/>
        <v>11.456068378211075</v>
      </c>
      <c r="N120">
        <f t="shared" si="25"/>
        <v>16.168997435335452</v>
      </c>
      <c r="O120">
        <f t="shared" si="26"/>
        <v>0.80964092086180151</v>
      </c>
      <c r="P120">
        <f t="shared" si="27"/>
        <v>0.83312925342562949</v>
      </c>
    </row>
    <row r="121" spans="1:16">
      <c r="A121" s="2">
        <v>34151</v>
      </c>
      <c r="B121" s="1">
        <v>-1.64</v>
      </c>
      <c r="C121" s="1">
        <v>4.7300000000000004</v>
      </c>
      <c r="D121" s="1">
        <v>-6.26</v>
      </c>
      <c r="E121" s="1">
        <v>-11.36</v>
      </c>
      <c r="F121" s="1">
        <v>-2</v>
      </c>
      <c r="G121" s="1">
        <v>-6.26</v>
      </c>
      <c r="H121" s="1">
        <v>-7.17</v>
      </c>
      <c r="J121">
        <f t="shared" si="21"/>
        <v>0.59438879804172107</v>
      </c>
      <c r="K121">
        <f t="shared" si="22"/>
        <v>2.649203163706936</v>
      </c>
      <c r="L121">
        <f t="shared" si="23"/>
        <v>1.5009728466591634</v>
      </c>
      <c r="M121">
        <f t="shared" si="24"/>
        <v>10.154659010446297</v>
      </c>
      <c r="N121">
        <f t="shared" si="25"/>
        <v>15.845617486628743</v>
      </c>
      <c r="O121">
        <f t="shared" si="26"/>
        <v>0.7589573992158527</v>
      </c>
      <c r="P121">
        <f t="shared" si="27"/>
        <v>0.77339388595501191</v>
      </c>
    </row>
    <row r="122" spans="1:16">
      <c r="A122" s="2">
        <v>34182</v>
      </c>
      <c r="B122" s="1">
        <v>20.100000000000001</v>
      </c>
      <c r="C122" s="1">
        <v>8.5299999999999994</v>
      </c>
      <c r="D122" s="1">
        <v>6.45</v>
      </c>
      <c r="E122" s="1">
        <v>9.56</v>
      </c>
      <c r="F122" s="1">
        <v>6.31</v>
      </c>
      <c r="G122" s="1">
        <v>4.1399999999999997</v>
      </c>
      <c r="H122" s="1">
        <v>6.36</v>
      </c>
      <c r="J122">
        <f t="shared" si="21"/>
        <v>0.71386094644810705</v>
      </c>
      <c r="K122">
        <f t="shared" si="22"/>
        <v>2.8751801935711376</v>
      </c>
      <c r="L122">
        <f t="shared" si="23"/>
        <v>1.5977855952686795</v>
      </c>
      <c r="M122">
        <f t="shared" si="24"/>
        <v>11.125444411844962</v>
      </c>
      <c r="N122">
        <f t="shared" si="25"/>
        <v>16.845475950035016</v>
      </c>
      <c r="O122">
        <f t="shared" si="26"/>
        <v>0.79037823554338904</v>
      </c>
      <c r="P122">
        <f t="shared" si="27"/>
        <v>0.82258173710175075</v>
      </c>
    </row>
    <row r="123" spans="1:16">
      <c r="A123" s="2">
        <v>34213</v>
      </c>
      <c r="B123" s="1">
        <v>10.59</v>
      </c>
      <c r="C123" s="1">
        <v>8.49</v>
      </c>
      <c r="D123" s="1">
        <v>-11.26</v>
      </c>
      <c r="E123" s="1">
        <v>-7.87</v>
      </c>
      <c r="F123" s="1">
        <v>4.93</v>
      </c>
      <c r="G123" s="1">
        <v>3.41</v>
      </c>
      <c r="H123" s="1">
        <v>1.39</v>
      </c>
      <c r="J123">
        <f t="shared" si="21"/>
        <v>0.78945882067696171</v>
      </c>
      <c r="K123">
        <f t="shared" si="22"/>
        <v>3.1192829920053273</v>
      </c>
      <c r="L123">
        <f t="shared" si="23"/>
        <v>1.4178749372414261</v>
      </c>
      <c r="M123">
        <f t="shared" si="24"/>
        <v>10.249871936632763</v>
      </c>
      <c r="N123">
        <f t="shared" si="25"/>
        <v>17.67595791437174</v>
      </c>
      <c r="O123">
        <f t="shared" si="26"/>
        <v>0.8173301333754186</v>
      </c>
      <c r="P123">
        <f t="shared" si="27"/>
        <v>0.83401562324746514</v>
      </c>
    </row>
    <row r="124" spans="1:16">
      <c r="A124" s="2">
        <v>34243</v>
      </c>
      <c r="B124" s="1">
        <v>-3.72</v>
      </c>
      <c r="C124" s="1">
        <v>-2.61</v>
      </c>
      <c r="D124" s="1">
        <v>-1.46</v>
      </c>
      <c r="E124" s="1">
        <v>1.1499999999999999</v>
      </c>
      <c r="F124" s="1">
        <v>5.13</v>
      </c>
      <c r="G124" s="1">
        <v>-7.69</v>
      </c>
      <c r="H124" s="1">
        <v>-2.39</v>
      </c>
      <c r="J124">
        <f t="shared" si="21"/>
        <v>0.7600909525477787</v>
      </c>
      <c r="K124">
        <f t="shared" si="22"/>
        <v>3.0378697059139883</v>
      </c>
      <c r="L124">
        <f t="shared" si="23"/>
        <v>1.3971739631577014</v>
      </c>
      <c r="M124">
        <f t="shared" si="24"/>
        <v>10.36774546390404</v>
      </c>
      <c r="N124">
        <f t="shared" si="25"/>
        <v>18.582734555379009</v>
      </c>
      <c r="O124">
        <f t="shared" si="26"/>
        <v>0.75447744611884893</v>
      </c>
      <c r="P124">
        <f t="shared" si="27"/>
        <v>0.81408264985185075</v>
      </c>
    </row>
    <row r="125" spans="1:16">
      <c r="A125" s="2">
        <v>34274</v>
      </c>
      <c r="B125" s="1">
        <v>7.18</v>
      </c>
      <c r="C125" s="1">
        <v>5.65</v>
      </c>
      <c r="D125" s="1">
        <v>0</v>
      </c>
      <c r="E125" s="1">
        <v>7.99</v>
      </c>
      <c r="F125" s="1">
        <v>5.69</v>
      </c>
      <c r="G125" s="1">
        <v>4.17</v>
      </c>
      <c r="H125" s="1">
        <v>2.4300000000000002</v>
      </c>
      <c r="J125">
        <f t="shared" si="21"/>
        <v>0.81466548294070928</v>
      </c>
      <c r="K125">
        <f t="shared" si="22"/>
        <v>3.2095093442981288</v>
      </c>
      <c r="L125">
        <f t="shared" si="23"/>
        <v>1.3971739631577014</v>
      </c>
      <c r="M125">
        <f t="shared" si="24"/>
        <v>11.196128326469973</v>
      </c>
      <c r="N125">
        <f t="shared" si="25"/>
        <v>19.640092151580074</v>
      </c>
      <c r="O125">
        <f t="shared" si="26"/>
        <v>0.785939155622005</v>
      </c>
      <c r="P125">
        <f t="shared" si="27"/>
        <v>0.83386485824325074</v>
      </c>
    </row>
    <row r="126" spans="1:16">
      <c r="A126" s="2">
        <v>34304</v>
      </c>
      <c r="B126" s="1">
        <v>7.73</v>
      </c>
      <c r="C126" s="1">
        <v>0.85</v>
      </c>
      <c r="D126" s="1">
        <v>1.49</v>
      </c>
      <c r="E126" s="1">
        <v>6.77</v>
      </c>
      <c r="F126" s="1">
        <v>13.08</v>
      </c>
      <c r="G126" s="1">
        <v>12</v>
      </c>
      <c r="H126" s="1">
        <v>5.05</v>
      </c>
      <c r="J126">
        <f t="shared" si="21"/>
        <v>0.8776391247720261</v>
      </c>
      <c r="K126">
        <f t="shared" si="22"/>
        <v>3.2367901737246627</v>
      </c>
      <c r="L126">
        <f t="shared" si="23"/>
        <v>1.4179918552087509</v>
      </c>
      <c r="M126">
        <f t="shared" si="24"/>
        <v>11.954106214171992</v>
      </c>
      <c r="N126">
        <f t="shared" si="25"/>
        <v>22.209016205006748</v>
      </c>
      <c r="O126">
        <f t="shared" si="26"/>
        <v>0.88025185429664565</v>
      </c>
      <c r="P126">
        <f t="shared" si="27"/>
        <v>0.87597503358453488</v>
      </c>
    </row>
    <row r="127" spans="1:16">
      <c r="A127" s="2">
        <v>34335</v>
      </c>
      <c r="B127" s="1">
        <v>-3.83</v>
      </c>
      <c r="C127" s="1">
        <v>-0.56000000000000005</v>
      </c>
      <c r="D127" s="1">
        <v>-0.98</v>
      </c>
      <c r="E127" s="1">
        <v>2.97</v>
      </c>
      <c r="F127" s="1">
        <v>-4.76</v>
      </c>
      <c r="G127" s="1">
        <v>-3.06</v>
      </c>
      <c r="H127" s="1">
        <v>-2.37</v>
      </c>
      <c r="J127">
        <f t="shared" si="21"/>
        <v>0.84402554629325754</v>
      </c>
      <c r="K127">
        <f t="shared" si="22"/>
        <v>3.2186641487518046</v>
      </c>
      <c r="L127">
        <f t="shared" si="23"/>
        <v>1.4040955350277051</v>
      </c>
      <c r="M127">
        <f t="shared" si="24"/>
        <v>12.3091431687329</v>
      </c>
      <c r="N127">
        <f t="shared" si="25"/>
        <v>21.151867033648426</v>
      </c>
      <c r="O127">
        <f t="shared" si="26"/>
        <v>0.85331614755516838</v>
      </c>
      <c r="P127">
        <f t="shared" si="27"/>
        <v>0.85521442528858138</v>
      </c>
    </row>
    <row r="128" spans="1:16">
      <c r="A128" s="2">
        <v>34366</v>
      </c>
      <c r="B128" s="1">
        <v>0.5</v>
      </c>
      <c r="C128" s="1">
        <v>3.93</v>
      </c>
      <c r="D128" s="1">
        <v>2.46</v>
      </c>
      <c r="E128" s="1">
        <v>5.77</v>
      </c>
      <c r="F128" s="1">
        <v>3.21</v>
      </c>
      <c r="G128" s="1">
        <v>-2.63</v>
      </c>
      <c r="H128" s="1">
        <v>3.56</v>
      </c>
      <c r="J128">
        <f t="shared" si="21"/>
        <v>0.84824567402472373</v>
      </c>
      <c r="K128">
        <f t="shared" si="22"/>
        <v>3.3451576497977502</v>
      </c>
      <c r="L128">
        <f t="shared" si="23"/>
        <v>1.4386362851893866</v>
      </c>
      <c r="M128">
        <f t="shared" si="24"/>
        <v>13.019380729568789</v>
      </c>
      <c r="N128">
        <f t="shared" si="25"/>
        <v>21.83084196542854</v>
      </c>
      <c r="O128">
        <f t="shared" si="26"/>
        <v>0.83087393287446742</v>
      </c>
      <c r="P128">
        <f t="shared" si="27"/>
        <v>0.8856600588288549</v>
      </c>
    </row>
    <row r="129" spans="1:16">
      <c r="A129" s="2">
        <v>34394</v>
      </c>
      <c r="B129" s="1">
        <v>-9.41</v>
      </c>
      <c r="C129" s="1">
        <v>-5</v>
      </c>
      <c r="D129" s="1">
        <v>-8.41</v>
      </c>
      <c r="E129" s="1">
        <v>-6.36</v>
      </c>
      <c r="F129" s="1">
        <v>-3.11</v>
      </c>
      <c r="G129" s="1">
        <v>-9.73</v>
      </c>
      <c r="H129" s="1">
        <v>-3.25</v>
      </c>
      <c r="J129">
        <f t="shared" si="21"/>
        <v>0.76842575609899721</v>
      </c>
      <c r="K129">
        <f t="shared" si="22"/>
        <v>3.1778997673078626</v>
      </c>
      <c r="L129">
        <f t="shared" si="23"/>
        <v>1.317646973604959</v>
      </c>
      <c r="M129">
        <f t="shared" si="24"/>
        <v>12.191348115168214</v>
      </c>
      <c r="N129">
        <f t="shared" si="25"/>
        <v>21.151902780303711</v>
      </c>
      <c r="O129">
        <f t="shared" si="26"/>
        <v>0.75002989920578178</v>
      </c>
      <c r="P129">
        <f t="shared" si="27"/>
        <v>0.85687610691691718</v>
      </c>
    </row>
    <row r="130" spans="1:16">
      <c r="A130" s="2">
        <v>34425</v>
      </c>
      <c r="B130" s="1">
        <v>3.83</v>
      </c>
      <c r="C130" s="1">
        <v>-8.39</v>
      </c>
      <c r="D130" s="1">
        <v>-3.41</v>
      </c>
      <c r="E130" s="1">
        <v>0.78</v>
      </c>
      <c r="F130" s="1">
        <v>6.07</v>
      </c>
      <c r="G130" s="1">
        <v>-17.07</v>
      </c>
      <c r="H130" s="1">
        <v>-3.13</v>
      </c>
      <c r="J130">
        <f t="shared" si="21"/>
        <v>0.7978564625575888</v>
      </c>
      <c r="K130">
        <f t="shared" si="22"/>
        <v>2.9112739768307332</v>
      </c>
      <c r="L130">
        <f t="shared" si="23"/>
        <v>1.2727152118050298</v>
      </c>
      <c r="M130">
        <f t="shared" si="24"/>
        <v>12.286440630466526</v>
      </c>
      <c r="N130">
        <f t="shared" si="25"/>
        <v>22.435823279068146</v>
      </c>
      <c r="O130">
        <f t="shared" si="26"/>
        <v>0.62199979541135486</v>
      </c>
      <c r="P130">
        <f t="shared" si="27"/>
        <v>0.8300558847704177</v>
      </c>
    </row>
    <row r="131" spans="1:16">
      <c r="A131" s="2">
        <v>34455</v>
      </c>
      <c r="B131" s="1">
        <v>-6.05</v>
      </c>
      <c r="C131" s="1">
        <v>-4.97</v>
      </c>
      <c r="D131" s="1">
        <v>15.22</v>
      </c>
      <c r="E131" s="1">
        <v>9.6300000000000008</v>
      </c>
      <c r="F131" s="1">
        <v>10.77</v>
      </c>
      <c r="G131" s="1">
        <v>-4.6900000000000004</v>
      </c>
      <c r="H131" s="1">
        <v>3.33</v>
      </c>
      <c r="J131">
        <f t="shared" ref="J131:J158" si="28">J130*(1+B131/100)</f>
        <v>0.74958614657285472</v>
      </c>
      <c r="K131">
        <f t="shared" ref="K131:K158" si="29">K130*(1+C131/100)</f>
        <v>2.766583660182246</v>
      </c>
      <c r="L131">
        <f t="shared" ref="L131:L158" si="30">L130*(1+D131/100)</f>
        <v>1.4664224670417554</v>
      </c>
      <c r="M131">
        <f t="shared" ref="M131:M158" si="31">M130*(1+E131/100)</f>
        <v>13.469624863180453</v>
      </c>
      <c r="N131">
        <f t="shared" ref="N131:N158" si="32">N130*(1+F131/100)</f>
        <v>24.852161446223782</v>
      </c>
      <c r="O131">
        <f t="shared" ref="O131:O158" si="33">O130*(1+G131/100)</f>
        <v>0.5928280050065623</v>
      </c>
      <c r="P131">
        <f t="shared" ref="P131:P158" si="34">P130*(1+H131/100)</f>
        <v>0.8576967457332727</v>
      </c>
    </row>
    <row r="132" spans="1:16">
      <c r="A132" s="2">
        <v>34486</v>
      </c>
      <c r="B132" s="1">
        <v>10.08</v>
      </c>
      <c r="C132" s="1">
        <v>4.58</v>
      </c>
      <c r="D132" s="1">
        <v>8.49</v>
      </c>
      <c r="E132" s="1">
        <v>5.23</v>
      </c>
      <c r="F132" s="1">
        <v>0</v>
      </c>
      <c r="G132" s="1">
        <v>9.4700000000000006</v>
      </c>
      <c r="H132" s="1">
        <v>3.83</v>
      </c>
      <c r="J132">
        <f t="shared" si="28"/>
        <v>0.82514443014739847</v>
      </c>
      <c r="K132">
        <f t="shared" si="29"/>
        <v>2.8932931918185929</v>
      </c>
      <c r="L132">
        <f t="shared" si="30"/>
        <v>1.5909217344936004</v>
      </c>
      <c r="M132">
        <f t="shared" si="31"/>
        <v>14.174086243524791</v>
      </c>
      <c r="N132">
        <f t="shared" si="32"/>
        <v>24.852161446223782</v>
      </c>
      <c r="O132">
        <f t="shared" si="33"/>
        <v>0.64896881708068377</v>
      </c>
      <c r="P132">
        <f t="shared" si="34"/>
        <v>0.89054653109485704</v>
      </c>
    </row>
    <row r="133" spans="1:16">
      <c r="A133" s="2">
        <v>34516</v>
      </c>
      <c r="B133" s="1">
        <v>0.76</v>
      </c>
      <c r="C133" s="1">
        <v>-0.81</v>
      </c>
      <c r="D133" s="1">
        <v>-1.96</v>
      </c>
      <c r="E133" s="1">
        <v>-3.45</v>
      </c>
      <c r="F133" s="1">
        <v>8.81</v>
      </c>
      <c r="G133" s="1">
        <v>4.5</v>
      </c>
      <c r="H133" s="1">
        <v>1.1200000000000001</v>
      </c>
      <c r="J133">
        <f t="shared" si="28"/>
        <v>0.83141552781651873</v>
      </c>
      <c r="K133">
        <f t="shared" si="29"/>
        <v>2.8698575169648621</v>
      </c>
      <c r="L133">
        <f t="shared" si="30"/>
        <v>1.559739668497526</v>
      </c>
      <c r="M133">
        <f t="shared" si="31"/>
        <v>13.685080268123185</v>
      </c>
      <c r="N133">
        <f t="shared" si="32"/>
        <v>27.0416368696361</v>
      </c>
      <c r="O133">
        <f t="shared" si="33"/>
        <v>0.67817241384931448</v>
      </c>
      <c r="P133">
        <f t="shared" si="34"/>
        <v>0.9005206522431195</v>
      </c>
    </row>
    <row r="134" spans="1:16">
      <c r="A134" s="2">
        <v>34547</v>
      </c>
      <c r="B134" s="1">
        <v>2.5299999999999998</v>
      </c>
      <c r="C134" s="1">
        <v>5.81</v>
      </c>
      <c r="D134" s="1">
        <v>-3.72</v>
      </c>
      <c r="E134" s="1">
        <v>1.5</v>
      </c>
      <c r="F134" s="1">
        <v>-5.59</v>
      </c>
      <c r="G134" s="1">
        <v>-8.61</v>
      </c>
      <c r="H134" s="1">
        <v>-4.41</v>
      </c>
      <c r="J134">
        <f t="shared" si="28"/>
        <v>0.8524503406702767</v>
      </c>
      <c r="K134">
        <f t="shared" si="29"/>
        <v>3.0365962387005205</v>
      </c>
      <c r="L134">
        <f t="shared" si="30"/>
        <v>1.5017173528294181</v>
      </c>
      <c r="M134">
        <f t="shared" si="31"/>
        <v>13.890356472145031</v>
      </c>
      <c r="N134">
        <f t="shared" si="32"/>
        <v>25.530009368623443</v>
      </c>
      <c r="O134">
        <f t="shared" si="33"/>
        <v>0.61978176901688853</v>
      </c>
      <c r="P134">
        <f t="shared" si="34"/>
        <v>0.86080769147919789</v>
      </c>
    </row>
    <row r="135" spans="1:16">
      <c r="A135" s="2">
        <v>34578</v>
      </c>
      <c r="B135" s="1">
        <v>12.23</v>
      </c>
      <c r="C135" s="1">
        <v>4.78</v>
      </c>
      <c r="D135" s="1">
        <v>8.67</v>
      </c>
      <c r="E135" s="1">
        <v>-1.3</v>
      </c>
      <c r="F135" s="1">
        <v>10.85</v>
      </c>
      <c r="G135" s="1">
        <v>-5.43</v>
      </c>
      <c r="H135" s="1">
        <v>1.41</v>
      </c>
      <c r="J135">
        <f t="shared" si="28"/>
        <v>0.95670501733425162</v>
      </c>
      <c r="K135">
        <f t="shared" si="29"/>
        <v>3.1817455389104055</v>
      </c>
      <c r="L135">
        <f t="shared" si="30"/>
        <v>1.6319162473197286</v>
      </c>
      <c r="M135">
        <f t="shared" si="31"/>
        <v>13.709781838007146</v>
      </c>
      <c r="N135">
        <f t="shared" si="32"/>
        <v>28.300015385119089</v>
      </c>
      <c r="O135">
        <f t="shared" si="33"/>
        <v>0.58612761895927146</v>
      </c>
      <c r="P135">
        <f t="shared" si="34"/>
        <v>0.87294507992905457</v>
      </c>
    </row>
    <row r="136" spans="1:16">
      <c r="A136" s="2">
        <v>34608</v>
      </c>
      <c r="B136" s="1">
        <v>-1.67</v>
      </c>
      <c r="C136" s="1">
        <v>-10.64</v>
      </c>
      <c r="D136" s="1">
        <v>-16.43</v>
      </c>
      <c r="E136" s="1">
        <v>-2.44</v>
      </c>
      <c r="F136" s="1">
        <v>-6.15</v>
      </c>
      <c r="G136" s="1">
        <v>-21.84</v>
      </c>
      <c r="H136" s="1">
        <v>-5.79</v>
      </c>
      <c r="J136">
        <f t="shared" si="28"/>
        <v>0.94072804354476958</v>
      </c>
      <c r="K136">
        <f t="shared" si="29"/>
        <v>2.8432078135703382</v>
      </c>
      <c r="L136">
        <f t="shared" si="30"/>
        <v>1.3637924078850971</v>
      </c>
      <c r="M136">
        <f t="shared" si="31"/>
        <v>13.375263161159772</v>
      </c>
      <c r="N136">
        <f t="shared" si="32"/>
        <v>26.559564438934263</v>
      </c>
      <c r="O136">
        <f t="shared" si="33"/>
        <v>0.45811734697856654</v>
      </c>
      <c r="P136">
        <f t="shared" si="34"/>
        <v>0.82240155980116236</v>
      </c>
    </row>
    <row r="137" spans="1:16">
      <c r="A137" s="2">
        <v>34639</v>
      </c>
      <c r="B137" s="1">
        <v>1.7</v>
      </c>
      <c r="C137" s="1">
        <v>-5.0999999999999996</v>
      </c>
      <c r="D137" s="1">
        <v>5.0599999999999996</v>
      </c>
      <c r="E137" s="1">
        <v>14.42</v>
      </c>
      <c r="F137" s="1">
        <v>16.899999999999999</v>
      </c>
      <c r="G137" s="1">
        <v>0.98</v>
      </c>
      <c r="H137" s="1">
        <v>7.62</v>
      </c>
      <c r="J137">
        <f t="shared" si="28"/>
        <v>0.95672042028503057</v>
      </c>
      <c r="K137">
        <f t="shared" si="29"/>
        <v>2.6982042150782508</v>
      </c>
      <c r="L137">
        <f t="shared" si="30"/>
        <v>1.4328003037240831</v>
      </c>
      <c r="M137">
        <f t="shared" si="31"/>
        <v>15.303976108999013</v>
      </c>
      <c r="N137">
        <f t="shared" si="32"/>
        <v>31.048130829114154</v>
      </c>
      <c r="O137">
        <f t="shared" si="33"/>
        <v>0.46260689697895652</v>
      </c>
      <c r="P137">
        <f t="shared" si="34"/>
        <v>0.88506855865801093</v>
      </c>
    </row>
    <row r="138" spans="1:16">
      <c r="A138" s="2">
        <v>34669</v>
      </c>
      <c r="B138" s="1">
        <v>11.93</v>
      </c>
      <c r="C138" s="1">
        <v>-0.4</v>
      </c>
      <c r="D138" s="1">
        <v>-0.53</v>
      </c>
      <c r="E138" s="1">
        <v>5.04</v>
      </c>
      <c r="F138" s="1">
        <v>6.19</v>
      </c>
      <c r="G138" s="1">
        <v>40.78</v>
      </c>
      <c r="H138" s="1">
        <v>5.56</v>
      </c>
      <c r="J138">
        <f t="shared" si="28"/>
        <v>1.0708571664250346</v>
      </c>
      <c r="K138">
        <f t="shared" si="29"/>
        <v>2.6874113982179377</v>
      </c>
      <c r="L138">
        <f t="shared" si="30"/>
        <v>1.4252064621143454</v>
      </c>
      <c r="M138">
        <f t="shared" si="31"/>
        <v>16.075296504892563</v>
      </c>
      <c r="N138">
        <f t="shared" si="32"/>
        <v>32.970010127436325</v>
      </c>
      <c r="O138">
        <f t="shared" si="33"/>
        <v>0.651257989566975</v>
      </c>
      <c r="P138">
        <f t="shared" si="34"/>
        <v>0.93427837051939644</v>
      </c>
    </row>
    <row r="139" spans="1:16">
      <c r="A139" s="2">
        <v>34700</v>
      </c>
      <c r="B139" s="1">
        <v>1.92</v>
      </c>
      <c r="C139" s="1">
        <v>8</v>
      </c>
      <c r="D139" s="1">
        <v>-2.42</v>
      </c>
      <c r="E139" s="1">
        <v>1.6</v>
      </c>
      <c r="F139" s="1">
        <v>19.440000000000001</v>
      </c>
      <c r="G139" s="1">
        <v>-2.76</v>
      </c>
      <c r="H139" s="1">
        <v>-0.25</v>
      </c>
      <c r="J139">
        <f t="shared" si="28"/>
        <v>1.0914176240203954</v>
      </c>
      <c r="K139">
        <f t="shared" si="29"/>
        <v>2.9024043100753731</v>
      </c>
      <c r="L139">
        <f t="shared" si="30"/>
        <v>1.3907164657311784</v>
      </c>
      <c r="M139">
        <f t="shared" si="31"/>
        <v>16.332501248970843</v>
      </c>
      <c r="N139">
        <f t="shared" si="32"/>
        <v>39.379380096209943</v>
      </c>
      <c r="O139">
        <f t="shared" si="33"/>
        <v>0.63328326905492649</v>
      </c>
      <c r="P139">
        <f t="shared" si="34"/>
        <v>0.93194267459309799</v>
      </c>
    </row>
    <row r="140" spans="1:16">
      <c r="A140" s="2">
        <v>34731</v>
      </c>
      <c r="B140" s="1">
        <v>2.5099999999999998</v>
      </c>
      <c r="C140" s="1">
        <v>9.44</v>
      </c>
      <c r="D140" s="1">
        <v>5.51</v>
      </c>
      <c r="E140" s="1">
        <v>-4.09</v>
      </c>
      <c r="F140" s="1">
        <v>-4.1900000000000004</v>
      </c>
      <c r="G140" s="1">
        <v>12.06</v>
      </c>
      <c r="H140" s="1">
        <v>0.45</v>
      </c>
      <c r="J140">
        <f t="shared" si="28"/>
        <v>1.1188122063833073</v>
      </c>
      <c r="K140">
        <f t="shared" si="29"/>
        <v>3.1763912769464886</v>
      </c>
      <c r="L140">
        <f t="shared" si="30"/>
        <v>1.4673449429929661</v>
      </c>
      <c r="M140">
        <f t="shared" si="31"/>
        <v>15.664501947887935</v>
      </c>
      <c r="N140">
        <f t="shared" si="32"/>
        <v>37.729384070178746</v>
      </c>
      <c r="O140">
        <f t="shared" si="33"/>
        <v>0.70965723130295066</v>
      </c>
      <c r="P140">
        <f t="shared" si="34"/>
        <v>0.9361364166287669</v>
      </c>
    </row>
    <row r="141" spans="1:16">
      <c r="A141" s="2">
        <v>34759</v>
      </c>
      <c r="B141" s="1">
        <v>2.04</v>
      </c>
      <c r="C141" s="1">
        <v>2.88</v>
      </c>
      <c r="D141" s="1">
        <v>7.05</v>
      </c>
      <c r="E141" s="1">
        <v>5.42</v>
      </c>
      <c r="F141" s="1">
        <v>-2.4300000000000002</v>
      </c>
      <c r="G141" s="1">
        <v>-5.38</v>
      </c>
      <c r="H141" s="1">
        <v>0.8</v>
      </c>
      <c r="J141">
        <f t="shared" si="28"/>
        <v>1.1416359753935268</v>
      </c>
      <c r="K141">
        <f t="shared" si="29"/>
        <v>3.2678713457225474</v>
      </c>
      <c r="L141">
        <f t="shared" si="30"/>
        <v>1.5707927614739703</v>
      </c>
      <c r="M141">
        <f t="shared" si="31"/>
        <v>16.51351795346346</v>
      </c>
      <c r="N141">
        <f t="shared" si="32"/>
        <v>36.8125600372734</v>
      </c>
      <c r="O141">
        <f t="shared" si="33"/>
        <v>0.67147767225885191</v>
      </c>
      <c r="P141">
        <f t="shared" si="34"/>
        <v>0.94362550796179701</v>
      </c>
    </row>
    <row r="142" spans="1:16">
      <c r="A142" s="2">
        <v>34790</v>
      </c>
      <c r="B142" s="1">
        <v>0</v>
      </c>
      <c r="C142" s="1">
        <v>2.4700000000000002</v>
      </c>
      <c r="D142" s="1">
        <v>8.2899999999999991</v>
      </c>
      <c r="E142" s="1">
        <v>6.07</v>
      </c>
      <c r="F142" s="1">
        <v>7.71</v>
      </c>
      <c r="G142" s="1">
        <v>29.77</v>
      </c>
      <c r="H142" s="1">
        <v>8.43</v>
      </c>
      <c r="J142">
        <f t="shared" si="28"/>
        <v>1.1416359753935268</v>
      </c>
      <c r="K142">
        <f t="shared" si="29"/>
        <v>3.3485877679618943</v>
      </c>
      <c r="L142">
        <f t="shared" si="30"/>
        <v>1.7010114814001625</v>
      </c>
      <c r="M142">
        <f t="shared" si="31"/>
        <v>17.515888493238691</v>
      </c>
      <c r="N142">
        <f t="shared" si="32"/>
        <v>39.650808416147179</v>
      </c>
      <c r="O142">
        <f t="shared" si="33"/>
        <v>0.87137657529031221</v>
      </c>
      <c r="P142">
        <f t="shared" si="34"/>
        <v>1.0231731382829765</v>
      </c>
    </row>
    <row r="143" spans="1:16">
      <c r="A143" s="2">
        <v>34820</v>
      </c>
      <c r="B143" s="1">
        <v>8.8000000000000007</v>
      </c>
      <c r="C143" s="1">
        <v>-2.09</v>
      </c>
      <c r="D143" s="1">
        <v>-9.01</v>
      </c>
      <c r="E143" s="1">
        <v>-11.45</v>
      </c>
      <c r="F143" s="1">
        <v>-4.8499999999999996</v>
      </c>
      <c r="G143" s="1">
        <v>17.53</v>
      </c>
      <c r="H143" s="1">
        <v>-4.53</v>
      </c>
      <c r="J143">
        <f t="shared" si="28"/>
        <v>1.2420999412281573</v>
      </c>
      <c r="K143">
        <f t="shared" si="29"/>
        <v>3.2786022836114905</v>
      </c>
      <c r="L143">
        <f t="shared" si="30"/>
        <v>1.5477503469260079</v>
      </c>
      <c r="M143">
        <f t="shared" si="31"/>
        <v>15.510319260762861</v>
      </c>
      <c r="N143">
        <f t="shared" si="32"/>
        <v>37.727744207964044</v>
      </c>
      <c r="O143">
        <f t="shared" si="33"/>
        <v>1.0241288889387039</v>
      </c>
      <c r="P143">
        <f t="shared" si="34"/>
        <v>0.97682339511875771</v>
      </c>
    </row>
    <row r="144" spans="1:16">
      <c r="A144" s="2">
        <v>34851</v>
      </c>
      <c r="B144" s="1">
        <v>-12.5</v>
      </c>
      <c r="C144" s="1">
        <v>5.25</v>
      </c>
      <c r="D144" s="1">
        <v>-3.96</v>
      </c>
      <c r="E144" s="1">
        <v>4.18</v>
      </c>
      <c r="F144" s="1">
        <v>-2.91</v>
      </c>
      <c r="G144" s="1">
        <v>4.3899999999999997</v>
      </c>
      <c r="H144" s="1">
        <v>-2.08</v>
      </c>
      <c r="J144">
        <f t="shared" si="28"/>
        <v>1.0868374485746375</v>
      </c>
      <c r="K144">
        <f t="shared" si="29"/>
        <v>3.4507289035010937</v>
      </c>
      <c r="L144">
        <f t="shared" si="30"/>
        <v>1.4864594331877381</v>
      </c>
      <c r="M144">
        <f t="shared" si="31"/>
        <v>16.15865060586275</v>
      </c>
      <c r="N144">
        <f t="shared" si="32"/>
        <v>36.62986685151229</v>
      </c>
      <c r="O144">
        <f t="shared" si="33"/>
        <v>1.0690881471631131</v>
      </c>
      <c r="P144">
        <f t="shared" si="34"/>
        <v>0.9565054685002875</v>
      </c>
    </row>
    <row r="145" spans="1:16">
      <c r="A145" s="2">
        <v>34881</v>
      </c>
      <c r="B145" s="1">
        <v>1.47</v>
      </c>
      <c r="C145" s="1">
        <v>-3.54</v>
      </c>
      <c r="D145" s="1">
        <v>-7.22</v>
      </c>
      <c r="E145" s="1">
        <v>-6.16</v>
      </c>
      <c r="F145" s="1">
        <v>-3</v>
      </c>
      <c r="G145" s="1">
        <v>-11.55</v>
      </c>
      <c r="H145" s="1">
        <v>-3.73</v>
      </c>
      <c r="J145">
        <f t="shared" si="28"/>
        <v>1.1028139590686845</v>
      </c>
      <c r="K145">
        <f t="shared" si="29"/>
        <v>3.328573100317155</v>
      </c>
      <c r="L145">
        <f t="shared" si="30"/>
        <v>1.3791370621115833</v>
      </c>
      <c r="M145">
        <f t="shared" si="31"/>
        <v>15.163277728541605</v>
      </c>
      <c r="N145">
        <f t="shared" si="32"/>
        <v>35.53097084596692</v>
      </c>
      <c r="O145">
        <f t="shared" si="33"/>
        <v>0.94560846616577343</v>
      </c>
      <c r="P145">
        <f t="shared" si="34"/>
        <v>0.92082781452522677</v>
      </c>
    </row>
    <row r="146" spans="1:16">
      <c r="A146" s="2">
        <v>34912</v>
      </c>
      <c r="B146" s="1">
        <v>-1.83</v>
      </c>
      <c r="C146" s="1">
        <v>1.52</v>
      </c>
      <c r="D146" s="1">
        <v>3.34</v>
      </c>
      <c r="E146" s="1">
        <v>6.02</v>
      </c>
      <c r="F146" s="1">
        <v>16.239999999999998</v>
      </c>
      <c r="G146" s="1">
        <v>-12.35</v>
      </c>
      <c r="H146" s="1">
        <v>2.44</v>
      </c>
      <c r="J146">
        <f t="shared" si="28"/>
        <v>1.0826324636177276</v>
      </c>
      <c r="K146">
        <f t="shared" si="29"/>
        <v>3.3791674114419763</v>
      </c>
      <c r="L146">
        <f t="shared" si="30"/>
        <v>1.4252002399861103</v>
      </c>
      <c r="M146">
        <f t="shared" si="31"/>
        <v>16.076107047799809</v>
      </c>
      <c r="N146">
        <f t="shared" si="32"/>
        <v>41.301200511351944</v>
      </c>
      <c r="O146">
        <f t="shared" si="33"/>
        <v>0.82882582059430043</v>
      </c>
      <c r="P146">
        <f t="shared" si="34"/>
        <v>0.94329601319964229</v>
      </c>
    </row>
    <row r="147" spans="1:16">
      <c r="A147" s="2">
        <v>34943</v>
      </c>
      <c r="B147" s="1">
        <v>12.98</v>
      </c>
      <c r="C147" s="1">
        <v>6.74</v>
      </c>
      <c r="D147" s="1">
        <v>3.06</v>
      </c>
      <c r="E147" s="1">
        <v>2.75</v>
      </c>
      <c r="F147" s="1">
        <v>8.6300000000000008</v>
      </c>
      <c r="G147" s="1">
        <v>12.2</v>
      </c>
      <c r="H147" s="1">
        <v>4.0999999999999996</v>
      </c>
      <c r="J147">
        <f t="shared" si="28"/>
        <v>1.2231581573953085</v>
      </c>
      <c r="K147">
        <f t="shared" si="29"/>
        <v>3.6069232949731651</v>
      </c>
      <c r="L147">
        <f t="shared" si="30"/>
        <v>1.4688113673296852</v>
      </c>
      <c r="M147">
        <f t="shared" si="31"/>
        <v>16.518199991614306</v>
      </c>
      <c r="N147">
        <f t="shared" si="32"/>
        <v>44.865494115481617</v>
      </c>
      <c r="O147">
        <f t="shared" si="33"/>
        <v>0.92994257070680497</v>
      </c>
      <c r="P147">
        <f t="shared" si="34"/>
        <v>0.98197114974082755</v>
      </c>
    </row>
    <row r="148" spans="1:16">
      <c r="A148" s="2">
        <v>34973</v>
      </c>
      <c r="B148" s="1">
        <v>5.85</v>
      </c>
      <c r="C148" s="1">
        <v>3.16</v>
      </c>
      <c r="D148" s="1">
        <v>0</v>
      </c>
      <c r="E148" s="1">
        <v>2.1800000000000002</v>
      </c>
      <c r="F148" s="1">
        <v>6.95</v>
      </c>
      <c r="G148" s="1">
        <v>-1.93</v>
      </c>
      <c r="H148" s="1">
        <v>2.0099999999999998</v>
      </c>
      <c r="J148">
        <f t="shared" si="28"/>
        <v>1.2947129096029342</v>
      </c>
      <c r="K148">
        <f t="shared" si="29"/>
        <v>3.7209020710943173</v>
      </c>
      <c r="L148">
        <f t="shared" si="30"/>
        <v>1.4688113673296852</v>
      </c>
      <c r="M148">
        <f t="shared" si="31"/>
        <v>16.878296751431499</v>
      </c>
      <c r="N148">
        <f t="shared" si="32"/>
        <v>47.983645956507594</v>
      </c>
      <c r="O148">
        <f t="shared" si="33"/>
        <v>0.9119946790921637</v>
      </c>
      <c r="P148">
        <f t="shared" si="34"/>
        <v>1.0017087698506182</v>
      </c>
    </row>
    <row r="149" spans="1:16">
      <c r="A149" s="2">
        <v>35004</v>
      </c>
      <c r="B149" s="1">
        <v>11.81</v>
      </c>
      <c r="C149" s="1">
        <v>11.56</v>
      </c>
      <c r="D149" s="1">
        <v>14.02</v>
      </c>
      <c r="E149" s="1">
        <v>7.38</v>
      </c>
      <c r="F149" s="1">
        <v>9.2799999999999994</v>
      </c>
      <c r="G149" s="1">
        <v>22.41</v>
      </c>
      <c r="H149" s="1">
        <v>7.78</v>
      </c>
      <c r="J149">
        <f t="shared" si="28"/>
        <v>1.4476185042270409</v>
      </c>
      <c r="K149">
        <f t="shared" si="29"/>
        <v>4.1510383505128203</v>
      </c>
      <c r="L149">
        <f t="shared" si="30"/>
        <v>1.6747387210293072</v>
      </c>
      <c r="M149">
        <f t="shared" si="31"/>
        <v>18.123915051687145</v>
      </c>
      <c r="N149">
        <f t="shared" si="32"/>
        <v>52.436528301271501</v>
      </c>
      <c r="O149">
        <f t="shared" si="33"/>
        <v>1.1163726866767176</v>
      </c>
      <c r="P149">
        <f t="shared" si="34"/>
        <v>1.0796417121449964</v>
      </c>
    </row>
    <row r="150" spans="1:16">
      <c r="A150" s="2">
        <v>35034</v>
      </c>
      <c r="B150" s="1">
        <v>0.34</v>
      </c>
      <c r="C150" s="1">
        <v>5.49</v>
      </c>
      <c r="D150" s="1">
        <v>-4.26</v>
      </c>
      <c r="E150" s="1">
        <v>3.05</v>
      </c>
      <c r="F150" s="1">
        <v>-1.27</v>
      </c>
      <c r="G150" s="1">
        <v>-5.84</v>
      </c>
      <c r="H150" s="1">
        <v>3.38</v>
      </c>
      <c r="J150">
        <f t="shared" si="28"/>
        <v>1.452540407141413</v>
      </c>
      <c r="K150">
        <f t="shared" si="29"/>
        <v>4.3789303559559736</v>
      </c>
      <c r="L150">
        <f t="shared" si="30"/>
        <v>1.6033948515134588</v>
      </c>
      <c r="M150">
        <f t="shared" si="31"/>
        <v>18.676694460763603</v>
      </c>
      <c r="N150">
        <f t="shared" si="32"/>
        <v>51.770584391845354</v>
      </c>
      <c r="O150">
        <f t="shared" si="33"/>
        <v>1.0511765217747973</v>
      </c>
      <c r="P150">
        <f t="shared" si="34"/>
        <v>1.1161336020154973</v>
      </c>
    </row>
    <row r="151" spans="1:16">
      <c r="A151" s="2">
        <v>35065</v>
      </c>
      <c r="B151" s="1">
        <v>-4.24</v>
      </c>
      <c r="C151" s="1">
        <v>-1.73</v>
      </c>
      <c r="D151" s="1">
        <v>1.98</v>
      </c>
      <c r="E151" s="1">
        <v>-0.15</v>
      </c>
      <c r="F151" s="1">
        <v>-3.23</v>
      </c>
      <c r="G151" s="1">
        <v>-16.670000000000002</v>
      </c>
      <c r="H151" s="1">
        <v>-1.59</v>
      </c>
      <c r="J151">
        <f t="shared" si="28"/>
        <v>1.390952693878617</v>
      </c>
      <c r="K151">
        <f t="shared" si="29"/>
        <v>4.3031748607979354</v>
      </c>
      <c r="L151">
        <f t="shared" si="30"/>
        <v>1.6351420695734253</v>
      </c>
      <c r="M151">
        <f t="shared" si="31"/>
        <v>18.648679419072458</v>
      </c>
      <c r="N151">
        <f t="shared" si="32"/>
        <v>50.098394515988751</v>
      </c>
      <c r="O151">
        <f t="shared" si="33"/>
        <v>0.87594539559493845</v>
      </c>
      <c r="P151">
        <f t="shared" si="34"/>
        <v>1.0983870777434508</v>
      </c>
    </row>
    <row r="152" spans="1:16">
      <c r="A152" s="2">
        <v>35096</v>
      </c>
      <c r="B152" s="1">
        <v>-1.95</v>
      </c>
      <c r="C152" s="1">
        <v>7.35</v>
      </c>
      <c r="D152" s="1">
        <v>-2.1800000000000002</v>
      </c>
      <c r="E152" s="1">
        <v>2.82</v>
      </c>
      <c r="F152" s="1">
        <v>2.2200000000000002</v>
      </c>
      <c r="G152" s="1">
        <v>14.36</v>
      </c>
      <c r="H152" s="1">
        <v>2.63</v>
      </c>
      <c r="J152">
        <f t="shared" si="28"/>
        <v>1.3638291163479841</v>
      </c>
      <c r="K152">
        <f t="shared" si="29"/>
        <v>4.6194582130665829</v>
      </c>
      <c r="L152">
        <f t="shared" si="30"/>
        <v>1.5994959724567246</v>
      </c>
      <c r="M152">
        <f t="shared" si="31"/>
        <v>19.174572178690301</v>
      </c>
      <c r="N152">
        <f t="shared" si="32"/>
        <v>51.210578874243701</v>
      </c>
      <c r="O152">
        <f t="shared" si="33"/>
        <v>1.0017311544023715</v>
      </c>
      <c r="P152">
        <f t="shared" si="34"/>
        <v>1.1272746578881034</v>
      </c>
    </row>
    <row r="153" spans="1:16">
      <c r="A153" s="2">
        <v>35125</v>
      </c>
      <c r="B153" s="1">
        <v>0.9</v>
      </c>
      <c r="C153" s="1">
        <v>2.19</v>
      </c>
      <c r="D153" s="1">
        <v>-5.45</v>
      </c>
      <c r="E153" s="1">
        <v>-2.02</v>
      </c>
      <c r="F153" s="1">
        <v>-3.48</v>
      </c>
      <c r="G153" s="1">
        <v>-12.78</v>
      </c>
      <c r="H153" s="1">
        <v>-0.22</v>
      </c>
      <c r="J153">
        <f t="shared" si="28"/>
        <v>1.3761035783951159</v>
      </c>
      <c r="K153">
        <f t="shared" si="29"/>
        <v>4.7206243479327412</v>
      </c>
      <c r="L153">
        <f t="shared" si="30"/>
        <v>1.5123234419578331</v>
      </c>
      <c r="M153">
        <f t="shared" si="31"/>
        <v>18.787245820680756</v>
      </c>
      <c r="N153">
        <f t="shared" si="32"/>
        <v>49.428450729420021</v>
      </c>
      <c r="O153">
        <f t="shared" si="33"/>
        <v>0.87370991286974842</v>
      </c>
      <c r="P153">
        <f t="shared" si="34"/>
        <v>1.1247946536407496</v>
      </c>
    </row>
    <row r="154" spans="1:16">
      <c r="A154" s="2">
        <v>35156</v>
      </c>
      <c r="B154" s="1">
        <v>6.63</v>
      </c>
      <c r="C154" s="1">
        <v>1.34</v>
      </c>
      <c r="D154" s="1">
        <v>0</v>
      </c>
      <c r="E154" s="1">
        <v>1.18</v>
      </c>
      <c r="F154" s="1">
        <v>-0.23</v>
      </c>
      <c r="G154" s="1">
        <v>-2.57</v>
      </c>
      <c r="H154" s="1">
        <v>-0.11</v>
      </c>
      <c r="J154">
        <f t="shared" si="28"/>
        <v>1.4673392456427121</v>
      </c>
      <c r="K154">
        <f t="shared" si="29"/>
        <v>4.7838807141950399</v>
      </c>
      <c r="L154">
        <f t="shared" si="30"/>
        <v>1.5123234419578331</v>
      </c>
      <c r="M154">
        <f t="shared" si="31"/>
        <v>19.008935321364788</v>
      </c>
      <c r="N154">
        <f t="shared" si="32"/>
        <v>49.314765292742358</v>
      </c>
      <c r="O154">
        <f t="shared" si="33"/>
        <v>0.85125556810899594</v>
      </c>
      <c r="P154">
        <f t="shared" si="34"/>
        <v>1.1235573795217448</v>
      </c>
    </row>
    <row r="155" spans="1:16">
      <c r="A155" s="2">
        <v>35186</v>
      </c>
      <c r="B155" s="1">
        <v>4.54</v>
      </c>
      <c r="C155" s="1">
        <v>1.85</v>
      </c>
      <c r="D155" s="1">
        <v>0.52</v>
      </c>
      <c r="E155" s="1">
        <v>-0.73</v>
      </c>
      <c r="F155" s="1">
        <v>5.42</v>
      </c>
      <c r="G155" s="1">
        <v>-0.26</v>
      </c>
      <c r="H155" s="1">
        <v>3.42</v>
      </c>
      <c r="J155">
        <f t="shared" si="28"/>
        <v>1.5339564473948915</v>
      </c>
      <c r="K155">
        <f t="shared" si="29"/>
        <v>4.8723825074076483</v>
      </c>
      <c r="L155">
        <f t="shared" si="30"/>
        <v>1.5201875238560139</v>
      </c>
      <c r="M155">
        <f t="shared" si="31"/>
        <v>18.870170093518826</v>
      </c>
      <c r="N155">
        <f t="shared" si="32"/>
        <v>51.987625571608994</v>
      </c>
      <c r="O155">
        <f t="shared" si="33"/>
        <v>0.84904230363191247</v>
      </c>
      <c r="P155">
        <f t="shared" si="34"/>
        <v>1.1619830419013886</v>
      </c>
    </row>
    <row r="156" spans="1:16">
      <c r="A156" s="2">
        <v>35217</v>
      </c>
      <c r="B156" s="1">
        <v>22.51</v>
      </c>
      <c r="C156" s="1">
        <v>3.9</v>
      </c>
      <c r="D156" s="1">
        <v>3.39</v>
      </c>
      <c r="E156" s="1">
        <v>9.25</v>
      </c>
      <c r="F156" s="1">
        <v>21.63</v>
      </c>
      <c r="G156" s="1">
        <v>1.59</v>
      </c>
      <c r="H156" s="1">
        <v>9.06</v>
      </c>
      <c r="J156">
        <f t="shared" si="28"/>
        <v>1.8792500437034816</v>
      </c>
      <c r="K156">
        <f t="shared" si="29"/>
        <v>5.0624054251965465</v>
      </c>
      <c r="L156">
        <f t="shared" si="30"/>
        <v>1.5717218809147329</v>
      </c>
      <c r="M156">
        <f t="shared" si="31"/>
        <v>20.615660827169318</v>
      </c>
      <c r="N156">
        <f t="shared" si="32"/>
        <v>63.232548982748014</v>
      </c>
      <c r="O156">
        <f t="shared" si="33"/>
        <v>0.86254207625965984</v>
      </c>
      <c r="P156">
        <f t="shared" si="34"/>
        <v>1.2672587054976543</v>
      </c>
    </row>
    <row r="157" spans="1:16">
      <c r="A157" s="2">
        <v>35247</v>
      </c>
      <c r="B157" s="1">
        <v>10.35</v>
      </c>
      <c r="C157" s="1">
        <v>17.43</v>
      </c>
      <c r="D157" s="1">
        <v>-4.7</v>
      </c>
      <c r="E157" s="1">
        <v>-8.32</v>
      </c>
      <c r="F157" s="1">
        <v>-4.2300000000000004</v>
      </c>
      <c r="G157" s="1">
        <v>3.59</v>
      </c>
      <c r="H157" s="1">
        <v>4.55</v>
      </c>
      <c r="J157">
        <f t="shared" si="28"/>
        <v>2.0737524232267917</v>
      </c>
      <c r="K157">
        <f t="shared" si="29"/>
        <v>5.9447826908083048</v>
      </c>
      <c r="L157">
        <f t="shared" si="30"/>
        <v>1.4978509525117403</v>
      </c>
      <c r="M157">
        <f t="shared" si="31"/>
        <v>18.900437846348833</v>
      </c>
      <c r="N157">
        <f t="shared" si="32"/>
        <v>60.557812160777772</v>
      </c>
      <c r="O157">
        <f t="shared" si="33"/>
        <v>0.8935073367973817</v>
      </c>
      <c r="P157">
        <f t="shared" si="34"/>
        <v>1.3249189765977978</v>
      </c>
    </row>
    <row r="158" spans="1:16">
      <c r="A158" s="2">
        <v>35278</v>
      </c>
      <c r="B158" s="1">
        <v>6.4</v>
      </c>
      <c r="C158" s="1">
        <v>4.1900000000000004</v>
      </c>
      <c r="D158" s="1">
        <v>1.0900000000000001</v>
      </c>
      <c r="E158" s="1">
        <v>-3.54</v>
      </c>
      <c r="F158" s="1">
        <v>9.2100000000000009</v>
      </c>
      <c r="G158" s="1">
        <v>-19.79</v>
      </c>
      <c r="H158" s="1">
        <v>-3.29</v>
      </c>
      <c r="J158">
        <f t="shared" si="28"/>
        <v>2.2064725783133063</v>
      </c>
      <c r="K158">
        <f t="shared" si="29"/>
        <v>6.1938690855531728</v>
      </c>
      <c r="L158">
        <f t="shared" si="30"/>
        <v>1.5141775278941181</v>
      </c>
      <c r="M158">
        <f t="shared" si="31"/>
        <v>18.231362346588085</v>
      </c>
      <c r="N158">
        <f t="shared" si="32"/>
        <v>66.135186660785408</v>
      </c>
      <c r="O158">
        <f t="shared" si="33"/>
        <v>0.7166822348451799</v>
      </c>
      <c r="P158">
        <f t="shared" si="34"/>
        <v>1.2813291422677302</v>
      </c>
    </row>
    <row r="160" spans="1:16">
      <c r="A160" s="1" t="s">
        <v>8</v>
      </c>
      <c r="B160" s="1">
        <f>AVERAGE(B3:B158)*12</f>
        <v>15.621538461538464</v>
      </c>
      <c r="C160" s="1">
        <f t="shared" ref="C160:H160" si="35">AVERAGE(C3:C158)*12</f>
        <v>17.978461538461538</v>
      </c>
      <c r="D160" s="1">
        <f t="shared" si="35"/>
        <v>14.010769230769235</v>
      </c>
      <c r="E160" s="1">
        <f t="shared" si="35"/>
        <v>33.986923076923077</v>
      </c>
      <c r="F160" s="1">
        <f t="shared" si="35"/>
        <v>43.467692307692289</v>
      </c>
      <c r="G160" s="1">
        <f t="shared" si="35"/>
        <v>5.3615384615384603</v>
      </c>
      <c r="H160" s="1">
        <f t="shared" si="35"/>
        <v>5.3730769230769244</v>
      </c>
      <c r="I160" s="1" t="s">
        <v>10</v>
      </c>
      <c r="J160" s="5">
        <f>(J158^(1/(156/12))-1)*100</f>
        <v>6.2767705123273343</v>
      </c>
      <c r="K160" s="5">
        <f t="shared" ref="K160:P160" si="36">(K158^(1/(156/12))-1)*100</f>
        <v>15.058883523615862</v>
      </c>
      <c r="L160" s="5">
        <f t="shared" si="36"/>
        <v>3.2427950659245086</v>
      </c>
      <c r="M160" s="5">
        <f t="shared" si="36"/>
        <v>25.02189758932014</v>
      </c>
      <c r="N160" s="5">
        <f t="shared" si="36"/>
        <v>38.04900337657422</v>
      </c>
      <c r="O160" s="5">
        <f t="shared" si="36"/>
        <v>-2.5299295547920209</v>
      </c>
      <c r="P160" s="5">
        <f t="shared" si="36"/>
        <v>1.9252047616331369</v>
      </c>
    </row>
    <row r="161" spans="1:16">
      <c r="A161" s="1" t="s">
        <v>9</v>
      </c>
      <c r="B161" s="1">
        <f>STDEV(B3:B158)*SQRT(12)</f>
        <v>45.482502865368595</v>
      </c>
      <c r="C161" s="1">
        <f t="shared" ref="C161:H161" si="37">STDEV(C3:C158)*SQRT(12)</f>
        <v>28.56609191932673</v>
      </c>
      <c r="D161" s="1">
        <f t="shared" si="37"/>
        <v>48.174361759322913</v>
      </c>
      <c r="E161" s="1">
        <f t="shared" si="37"/>
        <v>51.260340840428682</v>
      </c>
      <c r="F161" s="1">
        <f t="shared" si="37"/>
        <v>48.536066884180137</v>
      </c>
      <c r="G161" s="1">
        <f t="shared" si="37"/>
        <v>41.152104572782541</v>
      </c>
      <c r="H161" s="1">
        <f t="shared" si="37"/>
        <v>26.550390869721436</v>
      </c>
      <c r="I161" s="1" t="s">
        <v>8</v>
      </c>
      <c r="J161" s="5">
        <v>15.621538461538464</v>
      </c>
      <c r="K161" s="5">
        <v>17.978461538461538</v>
      </c>
      <c r="L161" s="5">
        <v>14.010769230769235</v>
      </c>
      <c r="M161" s="5">
        <v>33.986923076923077</v>
      </c>
      <c r="N161" s="5">
        <v>43.467692307692289</v>
      </c>
      <c r="O161" s="5">
        <v>5.3615384615384603</v>
      </c>
      <c r="P161" s="5">
        <v>5.3730769230769244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opLeftCell="A136" workbookViewId="0">
      <selection activeCell="E155" sqref="E155"/>
    </sheetView>
  </sheetViews>
  <sheetFormatPr defaultRowHeight="16.2"/>
  <cols>
    <col min="1" max="8" width="9" style="1" customWidth="1"/>
    <col min="9" max="9" width="9.44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4">
        <v>30560</v>
      </c>
      <c r="B2">
        <v>7.69</v>
      </c>
      <c r="C2">
        <v>-1.77</v>
      </c>
      <c r="D2">
        <v>-8.65</v>
      </c>
      <c r="E2">
        <v>90</v>
      </c>
      <c r="F2">
        <v>-6.67</v>
      </c>
      <c r="G2">
        <v>0.86</v>
      </c>
      <c r="H2">
        <v>1.18</v>
      </c>
    </row>
    <row r="3" spans="1:8">
      <c r="A3" s="4">
        <v>30590</v>
      </c>
      <c r="B3">
        <v>-10.71</v>
      </c>
      <c r="C3">
        <v>-5.76</v>
      </c>
      <c r="D3">
        <v>-8.33</v>
      </c>
      <c r="E3">
        <v>-5.26</v>
      </c>
      <c r="F3">
        <v>6.12</v>
      </c>
      <c r="G3">
        <v>-9.98</v>
      </c>
      <c r="H3">
        <v>-7.96</v>
      </c>
    </row>
    <row r="4" spans="1:8">
      <c r="A4" s="4">
        <v>30621</v>
      </c>
      <c r="B4">
        <v>-4</v>
      </c>
      <c r="C4">
        <v>-2.79</v>
      </c>
      <c r="D4">
        <v>-0.83</v>
      </c>
      <c r="E4">
        <v>-1.85</v>
      </c>
      <c r="F4">
        <v>4.33</v>
      </c>
      <c r="G4">
        <v>-6.37</v>
      </c>
      <c r="H4">
        <v>-2.4900000000000002</v>
      </c>
    </row>
    <row r="5" spans="1:8">
      <c r="A5" s="4">
        <v>30651</v>
      </c>
      <c r="B5">
        <v>9.3699999999999992</v>
      </c>
      <c r="C5">
        <v>33.200000000000003</v>
      </c>
      <c r="D5">
        <v>4.17</v>
      </c>
      <c r="E5">
        <v>-1.26</v>
      </c>
      <c r="F5">
        <v>5.53</v>
      </c>
      <c r="G5">
        <v>12.09</v>
      </c>
      <c r="H5">
        <v>11.96</v>
      </c>
    </row>
    <row r="6" spans="1:8">
      <c r="A6" s="4">
        <v>30682</v>
      </c>
      <c r="B6">
        <v>0</v>
      </c>
      <c r="C6">
        <v>-16.309999999999999</v>
      </c>
      <c r="D6">
        <v>-18</v>
      </c>
      <c r="E6">
        <v>-10.19</v>
      </c>
      <c r="F6">
        <v>-23.58</v>
      </c>
      <c r="G6">
        <v>-6.74</v>
      </c>
      <c r="H6">
        <v>-11.46</v>
      </c>
    </row>
    <row r="7" spans="1:8">
      <c r="A7" s="4">
        <v>30713</v>
      </c>
      <c r="B7">
        <v>5.71</v>
      </c>
      <c r="C7">
        <v>2.21</v>
      </c>
      <c r="D7">
        <v>6.34</v>
      </c>
      <c r="E7">
        <v>9.93</v>
      </c>
      <c r="F7">
        <v>4.57</v>
      </c>
      <c r="G7">
        <v>-1.2</v>
      </c>
      <c r="H7">
        <v>3.19</v>
      </c>
    </row>
    <row r="8" spans="1:8">
      <c r="A8" s="4">
        <v>30742</v>
      </c>
      <c r="B8">
        <v>-3.6</v>
      </c>
      <c r="C8">
        <v>-2.16</v>
      </c>
      <c r="D8">
        <v>18.350000000000001</v>
      </c>
      <c r="E8">
        <v>21.29</v>
      </c>
      <c r="F8">
        <v>24.59</v>
      </c>
      <c r="G8">
        <v>0.49</v>
      </c>
      <c r="H8">
        <v>0.23</v>
      </c>
    </row>
    <row r="9" spans="1:8">
      <c r="A9" s="4">
        <v>30773</v>
      </c>
      <c r="B9">
        <v>-9.35</v>
      </c>
      <c r="C9">
        <v>-10.66</v>
      </c>
      <c r="D9">
        <v>-1.55</v>
      </c>
      <c r="E9">
        <v>-7.45</v>
      </c>
      <c r="F9">
        <v>0.88</v>
      </c>
      <c r="G9">
        <v>-10.19</v>
      </c>
      <c r="H9">
        <v>-11.04</v>
      </c>
    </row>
    <row r="10" spans="1:8">
      <c r="A10" s="4">
        <v>30803</v>
      </c>
      <c r="B10">
        <v>-1.63</v>
      </c>
      <c r="C10">
        <v>-0.82</v>
      </c>
      <c r="D10">
        <v>0</v>
      </c>
      <c r="E10">
        <v>7.47</v>
      </c>
      <c r="F10">
        <v>1.74</v>
      </c>
      <c r="G10">
        <v>-5.14</v>
      </c>
      <c r="H10">
        <v>-2.23</v>
      </c>
    </row>
    <row r="11" spans="1:8">
      <c r="A11" s="4">
        <v>30834</v>
      </c>
      <c r="B11">
        <v>3.21</v>
      </c>
      <c r="C11">
        <v>-3.32</v>
      </c>
      <c r="D11">
        <v>4.33</v>
      </c>
      <c r="E11">
        <v>20.8</v>
      </c>
      <c r="F11">
        <v>0.43</v>
      </c>
      <c r="G11">
        <v>-4.62</v>
      </c>
      <c r="H11">
        <v>-4.05</v>
      </c>
    </row>
    <row r="12" spans="1:8">
      <c r="A12" s="4">
        <v>30864</v>
      </c>
      <c r="B12">
        <v>-6.12</v>
      </c>
      <c r="C12">
        <v>-4.29</v>
      </c>
      <c r="D12">
        <v>-9.43</v>
      </c>
      <c r="E12">
        <v>-17.93</v>
      </c>
      <c r="F12">
        <v>-20</v>
      </c>
      <c r="G12">
        <v>10.55</v>
      </c>
      <c r="H12">
        <v>-4.8600000000000003</v>
      </c>
    </row>
    <row r="13" spans="1:8">
      <c r="A13" s="4">
        <v>30895</v>
      </c>
      <c r="B13">
        <v>-14.36</v>
      </c>
      <c r="C13">
        <v>-5.83</v>
      </c>
      <c r="D13">
        <v>-7.11</v>
      </c>
      <c r="E13">
        <v>2.4300000000000002</v>
      </c>
      <c r="F13">
        <v>4.26</v>
      </c>
      <c r="G13">
        <v>-2.2999999999999998</v>
      </c>
      <c r="H13">
        <v>-7.15</v>
      </c>
    </row>
    <row r="14" spans="1:8">
      <c r="A14" s="4">
        <v>30926</v>
      </c>
      <c r="B14">
        <v>1.45</v>
      </c>
      <c r="C14">
        <v>2.38</v>
      </c>
      <c r="D14">
        <v>0</v>
      </c>
      <c r="E14">
        <v>-7.11</v>
      </c>
      <c r="F14">
        <v>21.43</v>
      </c>
      <c r="G14">
        <v>4.71</v>
      </c>
      <c r="H14">
        <v>4.6399999999999997</v>
      </c>
    </row>
    <row r="15" spans="1:8">
      <c r="A15" s="4">
        <v>30956</v>
      </c>
      <c r="B15">
        <v>-8.5500000000000007</v>
      </c>
      <c r="C15">
        <v>-0.93</v>
      </c>
      <c r="D15">
        <v>-10.81</v>
      </c>
      <c r="E15">
        <v>-14.29</v>
      </c>
      <c r="F15">
        <v>-2.94</v>
      </c>
      <c r="G15">
        <v>-6.11</v>
      </c>
      <c r="H15">
        <v>-4.29</v>
      </c>
    </row>
    <row r="16" spans="1:8">
      <c r="A16" s="4">
        <v>30987</v>
      </c>
      <c r="B16">
        <v>0.62</v>
      </c>
      <c r="C16">
        <v>-6.82</v>
      </c>
      <c r="D16">
        <v>-3.03</v>
      </c>
      <c r="E16">
        <v>-1.19</v>
      </c>
      <c r="F16">
        <v>-20.260000000000002</v>
      </c>
      <c r="G16">
        <v>0</v>
      </c>
      <c r="H16">
        <v>-0.83</v>
      </c>
    </row>
    <row r="17" spans="1:8">
      <c r="A17" s="4">
        <v>31017</v>
      </c>
      <c r="B17">
        <v>14.55</v>
      </c>
      <c r="C17">
        <v>18.38</v>
      </c>
      <c r="D17">
        <v>6.25</v>
      </c>
      <c r="E17">
        <v>2.41</v>
      </c>
      <c r="F17">
        <v>18.55</v>
      </c>
      <c r="G17">
        <v>17.809999999999999</v>
      </c>
      <c r="H17">
        <v>8.3000000000000007</v>
      </c>
    </row>
    <row r="18" spans="1:8">
      <c r="A18" s="4">
        <v>31048</v>
      </c>
      <c r="B18">
        <v>-4.8600000000000003</v>
      </c>
      <c r="C18">
        <v>-8.68</v>
      </c>
      <c r="D18">
        <v>-11.03</v>
      </c>
      <c r="E18">
        <v>-10</v>
      </c>
      <c r="F18">
        <v>-15.65</v>
      </c>
      <c r="G18">
        <v>-9.01</v>
      </c>
      <c r="H18">
        <v>-7.93</v>
      </c>
    </row>
    <row r="19" spans="1:8">
      <c r="A19" s="4">
        <v>31079</v>
      </c>
      <c r="B19">
        <v>7.39</v>
      </c>
      <c r="C19">
        <v>1</v>
      </c>
      <c r="D19">
        <v>1.65</v>
      </c>
      <c r="E19">
        <v>1.31</v>
      </c>
      <c r="F19">
        <v>-20.97</v>
      </c>
      <c r="G19">
        <v>7.99</v>
      </c>
      <c r="H19">
        <v>0.72</v>
      </c>
    </row>
    <row r="20" spans="1:8">
      <c r="A20" s="4">
        <v>31107</v>
      </c>
      <c r="B20">
        <v>4.2300000000000004</v>
      </c>
      <c r="C20">
        <v>4.46</v>
      </c>
      <c r="D20">
        <v>-0.81</v>
      </c>
      <c r="E20">
        <v>-3.23</v>
      </c>
      <c r="F20">
        <v>8.16</v>
      </c>
      <c r="G20">
        <v>2.37</v>
      </c>
      <c r="H20">
        <v>4.8899999999999997</v>
      </c>
    </row>
    <row r="21" spans="1:8">
      <c r="A21" s="4">
        <v>31138</v>
      </c>
      <c r="B21">
        <v>29.44</v>
      </c>
      <c r="C21">
        <v>20.85</v>
      </c>
      <c r="D21">
        <v>21.31</v>
      </c>
      <c r="E21">
        <v>37.33</v>
      </c>
      <c r="F21">
        <v>15.09</v>
      </c>
      <c r="G21">
        <v>35.840000000000003</v>
      </c>
      <c r="H21">
        <v>21.9</v>
      </c>
    </row>
    <row r="22" spans="1:8">
      <c r="A22" s="4">
        <v>31168</v>
      </c>
      <c r="B22">
        <v>7.94</v>
      </c>
      <c r="C22">
        <v>3.14</v>
      </c>
      <c r="D22">
        <v>1.19</v>
      </c>
      <c r="E22">
        <v>-1.26</v>
      </c>
      <c r="F22">
        <v>1.64</v>
      </c>
      <c r="G22">
        <v>3.83</v>
      </c>
      <c r="H22">
        <v>-2.73</v>
      </c>
    </row>
    <row r="23" spans="1:8">
      <c r="A23" s="4">
        <v>31199</v>
      </c>
      <c r="B23">
        <v>36.24</v>
      </c>
      <c r="C23">
        <v>8.3699999999999992</v>
      </c>
      <c r="D23">
        <v>5.41</v>
      </c>
      <c r="E23">
        <v>2.65</v>
      </c>
      <c r="F23">
        <v>21.77</v>
      </c>
      <c r="G23">
        <v>12.91</v>
      </c>
      <c r="H23">
        <v>9.9499999999999993</v>
      </c>
    </row>
    <row r="24" spans="1:8">
      <c r="A24" s="4">
        <v>31229</v>
      </c>
      <c r="B24">
        <v>-17.78</v>
      </c>
      <c r="C24">
        <v>-8.07</v>
      </c>
      <c r="D24">
        <v>-15.65</v>
      </c>
      <c r="E24">
        <v>-12.93</v>
      </c>
      <c r="F24">
        <v>5.3</v>
      </c>
      <c r="G24">
        <v>-6.5</v>
      </c>
      <c r="H24">
        <v>-6.91</v>
      </c>
    </row>
    <row r="25" spans="1:8">
      <c r="A25" s="4">
        <v>31260</v>
      </c>
      <c r="B25">
        <v>0.9</v>
      </c>
      <c r="C25">
        <v>3.05</v>
      </c>
      <c r="D25">
        <v>2.9</v>
      </c>
      <c r="E25">
        <v>8.91</v>
      </c>
      <c r="F25">
        <v>15.09</v>
      </c>
      <c r="G25">
        <v>5.23</v>
      </c>
      <c r="H25">
        <v>3.56</v>
      </c>
    </row>
    <row r="26" spans="1:8">
      <c r="A26" s="4">
        <v>31291</v>
      </c>
      <c r="B26">
        <v>-0.89</v>
      </c>
      <c r="C26">
        <v>-5.19</v>
      </c>
      <c r="D26">
        <v>1.1299999999999999</v>
      </c>
      <c r="E26">
        <v>-2.73</v>
      </c>
      <c r="F26">
        <v>13.11</v>
      </c>
      <c r="G26">
        <v>-0.21</v>
      </c>
      <c r="H26">
        <v>2.85</v>
      </c>
    </row>
    <row r="27" spans="1:8">
      <c r="A27" s="4">
        <v>31321</v>
      </c>
      <c r="B27">
        <v>7.21</v>
      </c>
      <c r="C27">
        <v>-4.3</v>
      </c>
      <c r="D27">
        <v>-2.23</v>
      </c>
      <c r="E27">
        <v>-0.93</v>
      </c>
      <c r="F27">
        <v>15.94</v>
      </c>
      <c r="G27">
        <v>-5.6</v>
      </c>
      <c r="H27">
        <v>-1.21</v>
      </c>
    </row>
    <row r="28" spans="1:8">
      <c r="A28" s="4">
        <v>31352</v>
      </c>
      <c r="B28">
        <v>4.2</v>
      </c>
      <c r="C28">
        <v>9.7100000000000009</v>
      </c>
      <c r="D28">
        <v>16.52</v>
      </c>
      <c r="E28">
        <v>10.38</v>
      </c>
      <c r="F28">
        <v>4.37</v>
      </c>
      <c r="G28">
        <v>0.88</v>
      </c>
      <c r="H28">
        <v>6.22</v>
      </c>
    </row>
    <row r="29" spans="1:8">
      <c r="A29" s="4">
        <v>31382</v>
      </c>
      <c r="B29">
        <v>-3.23</v>
      </c>
      <c r="C29">
        <v>0.78</v>
      </c>
      <c r="D29">
        <v>-4.6500000000000004</v>
      </c>
      <c r="E29">
        <v>-3.42</v>
      </c>
      <c r="F29">
        <v>-2.4</v>
      </c>
      <c r="G29">
        <v>1.74</v>
      </c>
      <c r="H29">
        <v>1.58</v>
      </c>
    </row>
    <row r="30" spans="1:8">
      <c r="A30" s="4">
        <v>31413</v>
      </c>
      <c r="B30">
        <v>0</v>
      </c>
      <c r="C30">
        <v>-1.55</v>
      </c>
      <c r="D30">
        <v>1.03</v>
      </c>
      <c r="E30">
        <v>0</v>
      </c>
      <c r="F30">
        <v>-1.23</v>
      </c>
      <c r="G30">
        <v>-2.36</v>
      </c>
      <c r="H30">
        <v>5.04</v>
      </c>
    </row>
    <row r="31" spans="1:8">
      <c r="A31" s="4">
        <v>31444</v>
      </c>
      <c r="B31">
        <v>2.5</v>
      </c>
      <c r="C31">
        <v>5.32</v>
      </c>
      <c r="D31">
        <v>13.45</v>
      </c>
      <c r="E31">
        <v>10.62</v>
      </c>
      <c r="F31">
        <v>23.6</v>
      </c>
      <c r="G31">
        <v>7.02</v>
      </c>
      <c r="H31">
        <v>8.1300000000000008</v>
      </c>
    </row>
    <row r="32" spans="1:8">
      <c r="A32" s="4">
        <v>31472</v>
      </c>
      <c r="B32">
        <v>-3.25</v>
      </c>
      <c r="C32">
        <v>1.1499999999999999</v>
      </c>
      <c r="D32">
        <v>20.81</v>
      </c>
      <c r="E32">
        <v>12.8</v>
      </c>
      <c r="F32">
        <v>35.18</v>
      </c>
      <c r="G32">
        <v>0.41</v>
      </c>
      <c r="H32">
        <v>1.64</v>
      </c>
    </row>
    <row r="33" spans="1:8">
      <c r="A33" s="4">
        <v>31503</v>
      </c>
      <c r="B33">
        <v>-5.04</v>
      </c>
      <c r="C33">
        <v>12.12</v>
      </c>
      <c r="D33">
        <v>24.07</v>
      </c>
      <c r="E33">
        <v>33.33</v>
      </c>
      <c r="F33">
        <v>20.45</v>
      </c>
      <c r="G33">
        <v>-1.02</v>
      </c>
      <c r="H33">
        <v>6.02</v>
      </c>
    </row>
    <row r="34" spans="1:8">
      <c r="A34" s="4">
        <v>31533</v>
      </c>
      <c r="B34">
        <v>-8.85</v>
      </c>
      <c r="C34">
        <v>1.35</v>
      </c>
      <c r="D34">
        <v>12.69</v>
      </c>
      <c r="E34">
        <v>26.6</v>
      </c>
      <c r="F34">
        <v>-1.23</v>
      </c>
      <c r="G34">
        <v>-8.25</v>
      </c>
      <c r="H34">
        <v>-3.8</v>
      </c>
    </row>
    <row r="35" spans="1:8">
      <c r="A35" s="4">
        <v>31564</v>
      </c>
      <c r="B35">
        <v>-4.45</v>
      </c>
      <c r="C35">
        <v>-2</v>
      </c>
      <c r="D35">
        <v>50.33</v>
      </c>
      <c r="E35">
        <v>55.67</v>
      </c>
      <c r="F35">
        <v>28.12</v>
      </c>
      <c r="G35">
        <v>10.42</v>
      </c>
      <c r="H35">
        <v>10.62</v>
      </c>
    </row>
    <row r="36" spans="1:8">
      <c r="A36" s="4">
        <v>31594</v>
      </c>
      <c r="B36">
        <v>-10.57</v>
      </c>
      <c r="C36">
        <v>10.199999999999999</v>
      </c>
      <c r="D36">
        <v>55.77</v>
      </c>
      <c r="E36">
        <v>25.51</v>
      </c>
      <c r="F36">
        <v>80.290000000000006</v>
      </c>
      <c r="G36">
        <v>3.79</v>
      </c>
      <c r="H36">
        <v>11.47</v>
      </c>
    </row>
    <row r="37" spans="1:8">
      <c r="A37" s="4">
        <v>31625</v>
      </c>
      <c r="B37">
        <v>-6.55</v>
      </c>
      <c r="C37">
        <v>-9.57</v>
      </c>
      <c r="D37">
        <v>-5.15</v>
      </c>
      <c r="E37">
        <v>3.87</v>
      </c>
      <c r="F37">
        <v>1.52</v>
      </c>
      <c r="G37">
        <v>-5.53</v>
      </c>
      <c r="H37">
        <v>-3.08</v>
      </c>
    </row>
    <row r="38" spans="1:8">
      <c r="A38" s="4">
        <v>31656</v>
      </c>
      <c r="B38">
        <v>1.89</v>
      </c>
      <c r="C38">
        <v>-7.85</v>
      </c>
      <c r="D38">
        <v>-33.72</v>
      </c>
      <c r="E38">
        <v>-14.91</v>
      </c>
      <c r="F38">
        <v>-19.78</v>
      </c>
      <c r="G38">
        <v>-3.83</v>
      </c>
      <c r="H38">
        <v>-10.74</v>
      </c>
    </row>
    <row r="39" spans="1:8">
      <c r="A39" s="4">
        <v>31686</v>
      </c>
      <c r="B39">
        <v>-13.23</v>
      </c>
      <c r="C39">
        <v>-12.22</v>
      </c>
      <c r="D39">
        <v>-27.49</v>
      </c>
      <c r="E39">
        <v>-28.83</v>
      </c>
      <c r="F39">
        <v>-39.07</v>
      </c>
      <c r="G39">
        <v>-22.72</v>
      </c>
      <c r="H39">
        <v>-16.02</v>
      </c>
    </row>
    <row r="40" spans="1:8">
      <c r="A40" s="4">
        <v>31717</v>
      </c>
      <c r="B40">
        <v>15.85</v>
      </c>
      <c r="C40">
        <v>-0.42</v>
      </c>
      <c r="D40">
        <v>3.23</v>
      </c>
      <c r="E40">
        <v>23.08</v>
      </c>
      <c r="F40">
        <v>37.4</v>
      </c>
      <c r="G40">
        <v>7.88</v>
      </c>
      <c r="H40">
        <v>6.62</v>
      </c>
    </row>
    <row r="41" spans="1:8">
      <c r="A41" s="4">
        <v>31747</v>
      </c>
      <c r="B41">
        <v>1.84</v>
      </c>
      <c r="C41">
        <v>4.24</v>
      </c>
      <c r="D41">
        <v>0</v>
      </c>
      <c r="E41">
        <v>-6.67</v>
      </c>
      <c r="F41">
        <v>-8.33</v>
      </c>
      <c r="G41">
        <v>4.49</v>
      </c>
      <c r="H41">
        <v>5</v>
      </c>
    </row>
    <row r="42" spans="1:8">
      <c r="A42" s="4">
        <v>31778</v>
      </c>
      <c r="B42">
        <v>-11.63</v>
      </c>
      <c r="C42">
        <v>1.46</v>
      </c>
      <c r="D42">
        <v>-0.78</v>
      </c>
      <c r="E42">
        <v>4.91</v>
      </c>
      <c r="F42">
        <v>13.94</v>
      </c>
      <c r="G42">
        <v>-5.38</v>
      </c>
      <c r="H42">
        <v>-1.24</v>
      </c>
    </row>
    <row r="43" spans="1:8">
      <c r="A43" s="4">
        <v>31809</v>
      </c>
      <c r="B43">
        <v>5.85</v>
      </c>
      <c r="C43">
        <v>0</v>
      </c>
      <c r="D43">
        <v>43.31</v>
      </c>
      <c r="E43">
        <v>42.13</v>
      </c>
      <c r="F43">
        <v>18.62</v>
      </c>
      <c r="G43">
        <v>2.56</v>
      </c>
      <c r="H43">
        <v>13.82</v>
      </c>
    </row>
    <row r="44" spans="1:8">
      <c r="A44" s="4">
        <v>31837</v>
      </c>
      <c r="B44">
        <v>5.53</v>
      </c>
      <c r="C44">
        <v>1.38</v>
      </c>
      <c r="D44">
        <v>-14.29</v>
      </c>
      <c r="E44">
        <v>-2.99</v>
      </c>
      <c r="F44">
        <v>-11.66</v>
      </c>
      <c r="G44">
        <v>-6.37</v>
      </c>
      <c r="H44">
        <v>-1.21</v>
      </c>
    </row>
    <row r="45" spans="1:8">
      <c r="A45" s="4">
        <v>31868</v>
      </c>
      <c r="B45">
        <v>-8.1199999999999992</v>
      </c>
      <c r="C45">
        <v>-5.45</v>
      </c>
      <c r="D45">
        <v>-20.51</v>
      </c>
      <c r="E45">
        <v>-12.04</v>
      </c>
      <c r="F45">
        <v>-2.54</v>
      </c>
      <c r="G45">
        <v>-9.4700000000000006</v>
      </c>
      <c r="H45">
        <v>-8.66</v>
      </c>
    </row>
    <row r="46" spans="1:8">
      <c r="A46" s="4">
        <v>31898</v>
      </c>
      <c r="B46">
        <v>-7.14</v>
      </c>
      <c r="C46">
        <v>-1.44</v>
      </c>
      <c r="D46">
        <v>-6.45</v>
      </c>
      <c r="E46">
        <v>-14.74</v>
      </c>
      <c r="F46">
        <v>1.04</v>
      </c>
      <c r="G46">
        <v>-13.07</v>
      </c>
      <c r="H46">
        <v>-4.83</v>
      </c>
    </row>
    <row r="47" spans="1:8">
      <c r="A47" s="4">
        <v>31929</v>
      </c>
      <c r="B47">
        <v>-1.65</v>
      </c>
      <c r="C47">
        <v>2.44</v>
      </c>
      <c r="D47">
        <v>-12.15</v>
      </c>
      <c r="E47">
        <v>-15.27</v>
      </c>
      <c r="F47">
        <v>-10.31</v>
      </c>
      <c r="G47">
        <v>-5.65</v>
      </c>
      <c r="H47">
        <v>-4.49</v>
      </c>
    </row>
    <row r="48" spans="1:8">
      <c r="A48" s="4">
        <v>31959</v>
      </c>
      <c r="B48">
        <v>-0.7</v>
      </c>
      <c r="C48">
        <v>-2.86</v>
      </c>
      <c r="D48">
        <v>2.5299999999999998</v>
      </c>
      <c r="E48">
        <v>9.86</v>
      </c>
      <c r="F48">
        <v>31.03</v>
      </c>
      <c r="G48">
        <v>-5.46</v>
      </c>
      <c r="H48">
        <v>1.39</v>
      </c>
    </row>
    <row r="49" spans="1:8">
      <c r="A49" s="4">
        <v>31990</v>
      </c>
      <c r="B49">
        <v>-1.75</v>
      </c>
      <c r="C49">
        <v>-2.94</v>
      </c>
      <c r="D49">
        <v>-21.73</v>
      </c>
      <c r="E49">
        <v>-21.15</v>
      </c>
      <c r="F49">
        <v>0.7</v>
      </c>
      <c r="G49">
        <v>-21.66</v>
      </c>
      <c r="H49">
        <v>-14.42</v>
      </c>
    </row>
    <row r="50" spans="1:8">
      <c r="A50" s="4">
        <v>32021</v>
      </c>
      <c r="B50">
        <v>2.86</v>
      </c>
      <c r="C50">
        <v>3.54</v>
      </c>
      <c r="D50">
        <v>11.36</v>
      </c>
      <c r="E50">
        <v>7.32</v>
      </c>
      <c r="F50">
        <v>-6.71</v>
      </c>
      <c r="G50">
        <v>6.47</v>
      </c>
      <c r="H50">
        <v>4.33</v>
      </c>
    </row>
    <row r="51" spans="1:8">
      <c r="A51" s="4">
        <v>32051</v>
      </c>
      <c r="B51">
        <v>3.12</v>
      </c>
      <c r="C51">
        <v>7.8</v>
      </c>
      <c r="D51">
        <v>7.65</v>
      </c>
      <c r="E51">
        <v>2.27</v>
      </c>
      <c r="F51">
        <v>7.84</v>
      </c>
      <c r="G51">
        <v>11.05</v>
      </c>
      <c r="H51">
        <v>4.8600000000000003</v>
      </c>
    </row>
    <row r="52" spans="1:8">
      <c r="A52" s="4">
        <v>32082</v>
      </c>
      <c r="B52">
        <v>0.34</v>
      </c>
      <c r="C52">
        <v>-4.53</v>
      </c>
      <c r="D52">
        <v>20.53</v>
      </c>
      <c r="E52">
        <v>16.3</v>
      </c>
      <c r="F52">
        <v>6.67</v>
      </c>
      <c r="G52">
        <v>10.95</v>
      </c>
      <c r="H52">
        <v>0.16</v>
      </c>
    </row>
    <row r="53" spans="1:8">
      <c r="A53" s="4">
        <v>32112</v>
      </c>
      <c r="B53">
        <v>-6.71</v>
      </c>
      <c r="C53">
        <v>-8.06</v>
      </c>
      <c r="D53">
        <v>-12.01</v>
      </c>
      <c r="E53">
        <v>-9.5500000000000007</v>
      </c>
      <c r="F53">
        <v>1.1399999999999999</v>
      </c>
      <c r="G53">
        <v>-10.76</v>
      </c>
      <c r="H53">
        <v>-10.57</v>
      </c>
    </row>
    <row r="54" spans="1:8">
      <c r="A54" s="4">
        <v>32143</v>
      </c>
      <c r="B54">
        <v>-15.11</v>
      </c>
      <c r="C54">
        <v>-12.37</v>
      </c>
      <c r="D54">
        <v>12.41</v>
      </c>
      <c r="E54">
        <v>18.309999999999999</v>
      </c>
      <c r="F54">
        <v>-3.37</v>
      </c>
      <c r="G54">
        <v>-16.079999999999998</v>
      </c>
      <c r="H54">
        <v>-6.55</v>
      </c>
    </row>
    <row r="55" spans="1:8">
      <c r="A55" s="4">
        <v>32174</v>
      </c>
      <c r="B55">
        <v>1.69</v>
      </c>
      <c r="C55">
        <v>8.24</v>
      </c>
      <c r="D55">
        <v>6.84</v>
      </c>
      <c r="E55">
        <v>5.36</v>
      </c>
      <c r="F55">
        <v>-6.98</v>
      </c>
      <c r="G55">
        <v>0</v>
      </c>
      <c r="H55">
        <v>5.34</v>
      </c>
    </row>
    <row r="56" spans="1:8">
      <c r="A56" s="4">
        <v>32203</v>
      </c>
      <c r="B56">
        <v>5</v>
      </c>
      <c r="C56">
        <v>17.93</v>
      </c>
      <c r="D56">
        <v>18.8</v>
      </c>
      <c r="E56">
        <v>17.510000000000002</v>
      </c>
      <c r="F56">
        <v>10.63</v>
      </c>
      <c r="G56">
        <v>7.19</v>
      </c>
      <c r="H56">
        <v>8.91</v>
      </c>
    </row>
    <row r="57" spans="1:8">
      <c r="A57" s="4">
        <v>32234</v>
      </c>
      <c r="B57">
        <v>8.73</v>
      </c>
      <c r="C57">
        <v>19.82</v>
      </c>
      <c r="D57">
        <v>-11.3</v>
      </c>
      <c r="E57">
        <v>6.25</v>
      </c>
      <c r="F57">
        <v>0.56999999999999995</v>
      </c>
      <c r="G57">
        <v>12.29</v>
      </c>
      <c r="H57">
        <v>7.11</v>
      </c>
    </row>
    <row r="58" spans="1:8">
      <c r="A58" s="4">
        <v>32264</v>
      </c>
      <c r="B58">
        <v>-12.04</v>
      </c>
      <c r="C58">
        <v>-4.59</v>
      </c>
      <c r="D58">
        <v>11.76</v>
      </c>
      <c r="E58">
        <v>5.88</v>
      </c>
      <c r="F58">
        <v>15.73</v>
      </c>
      <c r="G58">
        <v>-14.43</v>
      </c>
      <c r="H58">
        <v>-0.74</v>
      </c>
    </row>
    <row r="59" spans="1:8">
      <c r="A59" s="4">
        <v>32295</v>
      </c>
      <c r="B59">
        <v>3.73</v>
      </c>
      <c r="C59">
        <v>14.02</v>
      </c>
      <c r="D59">
        <v>40.22</v>
      </c>
      <c r="E59">
        <v>29.83</v>
      </c>
      <c r="F59">
        <v>41.75</v>
      </c>
      <c r="G59">
        <v>5.27</v>
      </c>
      <c r="H59">
        <v>15.73</v>
      </c>
    </row>
    <row r="60" spans="1:8">
      <c r="A60" s="4">
        <v>32325</v>
      </c>
      <c r="B60">
        <v>-10.67</v>
      </c>
      <c r="C60">
        <v>-10.66</v>
      </c>
      <c r="D60">
        <v>-12.95</v>
      </c>
      <c r="E60">
        <v>-10.119999999999999</v>
      </c>
      <c r="F60">
        <v>-19.93</v>
      </c>
      <c r="G60">
        <v>-12</v>
      </c>
      <c r="H60">
        <v>-13.47</v>
      </c>
    </row>
    <row r="61" spans="1:8">
      <c r="A61" s="4">
        <v>32356</v>
      </c>
      <c r="B61">
        <v>3.5</v>
      </c>
      <c r="C61">
        <v>13.76</v>
      </c>
      <c r="D61">
        <v>33.880000000000003</v>
      </c>
      <c r="E61">
        <v>21.62</v>
      </c>
      <c r="F61">
        <v>23.95</v>
      </c>
      <c r="G61">
        <v>3.05</v>
      </c>
      <c r="H61">
        <v>11.34</v>
      </c>
    </row>
    <row r="62" spans="1:8">
      <c r="A62" s="4">
        <v>32387</v>
      </c>
      <c r="B62">
        <v>9.66</v>
      </c>
      <c r="C62">
        <v>4.03</v>
      </c>
      <c r="D62">
        <v>-8.64</v>
      </c>
      <c r="E62">
        <v>-1.1100000000000001</v>
      </c>
      <c r="F62">
        <v>0.48</v>
      </c>
      <c r="G62">
        <v>-4.6100000000000003</v>
      </c>
      <c r="H62">
        <v>-6.85</v>
      </c>
    </row>
    <row r="63" spans="1:8">
      <c r="A63" s="4">
        <v>32417</v>
      </c>
      <c r="B63">
        <v>-7.49</v>
      </c>
      <c r="C63">
        <v>-6.2</v>
      </c>
      <c r="D63">
        <v>16.89</v>
      </c>
      <c r="E63">
        <v>8.61</v>
      </c>
      <c r="F63">
        <v>7.21</v>
      </c>
      <c r="G63">
        <v>-11.38</v>
      </c>
      <c r="H63">
        <v>3.37</v>
      </c>
    </row>
    <row r="64" spans="1:8">
      <c r="A64" s="4">
        <v>32448</v>
      </c>
      <c r="B64">
        <v>-7.14</v>
      </c>
      <c r="C64">
        <v>-7.02</v>
      </c>
      <c r="D64">
        <v>2.89</v>
      </c>
      <c r="E64">
        <v>2.41</v>
      </c>
      <c r="F64">
        <v>1.35</v>
      </c>
      <c r="G64">
        <v>-9.73</v>
      </c>
      <c r="H64">
        <v>-1.71</v>
      </c>
    </row>
    <row r="65" spans="1:8">
      <c r="A65" s="4">
        <v>32478</v>
      </c>
      <c r="B65">
        <v>66.150000000000006</v>
      </c>
      <c r="C65">
        <v>3.11</v>
      </c>
      <c r="D65">
        <v>25.84</v>
      </c>
      <c r="E65">
        <v>12.46</v>
      </c>
      <c r="F65">
        <v>3.54</v>
      </c>
      <c r="G65">
        <v>-9.91</v>
      </c>
      <c r="H65">
        <v>9.43</v>
      </c>
    </row>
    <row r="66" spans="1:8">
      <c r="A66" s="4">
        <v>32509</v>
      </c>
      <c r="B66">
        <v>18.21</v>
      </c>
      <c r="C66">
        <v>10.78</v>
      </c>
      <c r="D66">
        <v>9.3800000000000008</v>
      </c>
      <c r="E66">
        <v>21.56</v>
      </c>
      <c r="F66">
        <v>6.41</v>
      </c>
      <c r="G66">
        <v>31.1</v>
      </c>
      <c r="H66">
        <v>15.34</v>
      </c>
    </row>
    <row r="67" spans="1:8">
      <c r="A67" s="4">
        <v>32540</v>
      </c>
      <c r="B67">
        <v>12.53</v>
      </c>
      <c r="C67">
        <v>-7.39</v>
      </c>
      <c r="D67">
        <v>-8.16</v>
      </c>
      <c r="E67">
        <v>-0.99</v>
      </c>
      <c r="F67">
        <v>14.86</v>
      </c>
      <c r="G67">
        <v>-5.1100000000000003</v>
      </c>
      <c r="H67">
        <v>-3.17</v>
      </c>
    </row>
    <row r="68" spans="1:8">
      <c r="A68" s="4">
        <v>32568</v>
      </c>
      <c r="B68">
        <v>-20.420000000000002</v>
      </c>
      <c r="C68">
        <v>-7.98</v>
      </c>
      <c r="D68">
        <v>4.8899999999999997</v>
      </c>
      <c r="E68">
        <v>1.99</v>
      </c>
      <c r="F68">
        <v>23.43</v>
      </c>
      <c r="G68">
        <v>-1.54</v>
      </c>
      <c r="H68">
        <v>4.4400000000000004</v>
      </c>
    </row>
    <row r="69" spans="1:8">
      <c r="A69" s="4">
        <v>32599</v>
      </c>
      <c r="B69">
        <v>-27.11</v>
      </c>
      <c r="C69">
        <v>-0.91</v>
      </c>
      <c r="D69">
        <v>-10.17</v>
      </c>
      <c r="E69">
        <v>-4.88</v>
      </c>
      <c r="F69">
        <v>-18.41</v>
      </c>
      <c r="G69">
        <v>-17.97</v>
      </c>
      <c r="H69">
        <v>-10.93</v>
      </c>
    </row>
    <row r="70" spans="1:8">
      <c r="A70" s="4">
        <v>32629</v>
      </c>
      <c r="B70">
        <v>11.6</v>
      </c>
      <c r="C70">
        <v>5.07</v>
      </c>
      <c r="D70">
        <v>5.85</v>
      </c>
      <c r="E70">
        <v>3.06</v>
      </c>
      <c r="F70">
        <v>-2.08</v>
      </c>
      <c r="G70">
        <v>0</v>
      </c>
      <c r="H70">
        <v>1.85</v>
      </c>
    </row>
    <row r="71" spans="1:8">
      <c r="A71" s="4">
        <v>32660</v>
      </c>
      <c r="B71">
        <v>-12.54</v>
      </c>
      <c r="C71">
        <v>-2.2200000000000002</v>
      </c>
      <c r="D71">
        <v>-8.56</v>
      </c>
      <c r="E71">
        <v>-7.01</v>
      </c>
      <c r="F71">
        <v>-1.42</v>
      </c>
      <c r="G71">
        <v>-13.06</v>
      </c>
      <c r="H71">
        <v>-7.54</v>
      </c>
    </row>
    <row r="72" spans="1:8">
      <c r="A72" s="4">
        <v>32690</v>
      </c>
      <c r="B72">
        <v>10.65</v>
      </c>
      <c r="C72">
        <v>4.76</v>
      </c>
      <c r="D72">
        <v>-12.28</v>
      </c>
      <c r="E72">
        <v>-13.01</v>
      </c>
      <c r="F72">
        <v>13.06</v>
      </c>
      <c r="G72">
        <v>13.79</v>
      </c>
      <c r="H72">
        <v>-1.82</v>
      </c>
    </row>
    <row r="73" spans="1:8">
      <c r="A73" s="4">
        <v>32721</v>
      </c>
      <c r="B73">
        <v>-20.97</v>
      </c>
      <c r="C73">
        <v>-6.36</v>
      </c>
      <c r="D73">
        <v>10</v>
      </c>
      <c r="E73">
        <v>5.91</v>
      </c>
      <c r="F73">
        <v>-1.66</v>
      </c>
      <c r="G73">
        <v>-16.16</v>
      </c>
      <c r="H73">
        <v>-6.14</v>
      </c>
    </row>
    <row r="74" spans="1:8">
      <c r="A74" s="4">
        <v>32752</v>
      </c>
      <c r="B74">
        <v>-14.29</v>
      </c>
      <c r="C74">
        <v>0.02</v>
      </c>
      <c r="D74">
        <v>-22.42</v>
      </c>
      <c r="E74">
        <v>-25.65</v>
      </c>
      <c r="F74">
        <v>-18.989999999999998</v>
      </c>
      <c r="G74">
        <v>-11.45</v>
      </c>
      <c r="H74">
        <v>-18.8</v>
      </c>
    </row>
    <row r="75" spans="1:8">
      <c r="A75" s="4">
        <v>32782</v>
      </c>
      <c r="B75">
        <v>-1.79</v>
      </c>
      <c r="C75">
        <v>-7.43</v>
      </c>
      <c r="D75">
        <v>-10.94</v>
      </c>
      <c r="E75">
        <v>-2</v>
      </c>
      <c r="F75">
        <v>-11.98</v>
      </c>
      <c r="G75">
        <v>5.44</v>
      </c>
      <c r="H75">
        <v>-10.36</v>
      </c>
    </row>
    <row r="76" spans="1:8">
      <c r="A76" s="4">
        <v>32813</v>
      </c>
      <c r="B76">
        <v>-1.21</v>
      </c>
      <c r="C76">
        <v>-4.8099999999999996</v>
      </c>
      <c r="D76">
        <v>-8.77</v>
      </c>
      <c r="E76">
        <v>-8.67</v>
      </c>
      <c r="F76">
        <v>11.24</v>
      </c>
      <c r="G76">
        <v>1.29</v>
      </c>
      <c r="H76">
        <v>-5.18</v>
      </c>
    </row>
    <row r="77" spans="1:8">
      <c r="A77" s="4">
        <v>32843</v>
      </c>
      <c r="B77">
        <v>-6.14</v>
      </c>
      <c r="C77">
        <v>11.8</v>
      </c>
      <c r="D77">
        <v>-9.81</v>
      </c>
      <c r="E77">
        <v>-12.29</v>
      </c>
      <c r="F77">
        <v>-12.23</v>
      </c>
      <c r="G77">
        <v>-5.73</v>
      </c>
      <c r="H77">
        <v>-9.85</v>
      </c>
    </row>
    <row r="78" spans="1:8">
      <c r="A78" s="4">
        <v>32874</v>
      </c>
      <c r="B78">
        <v>16.989999999999998</v>
      </c>
      <c r="C78">
        <v>1.51</v>
      </c>
      <c r="D78">
        <v>26.87</v>
      </c>
      <c r="E78">
        <v>34.4</v>
      </c>
      <c r="F78">
        <v>28.48</v>
      </c>
      <c r="G78">
        <v>16.22</v>
      </c>
      <c r="H78">
        <v>25.26</v>
      </c>
    </row>
    <row r="79" spans="1:8">
      <c r="A79" s="4">
        <v>32905</v>
      </c>
      <c r="B79">
        <v>-8.94</v>
      </c>
      <c r="C79">
        <v>6.44</v>
      </c>
      <c r="D79">
        <v>-10.92</v>
      </c>
      <c r="E79">
        <v>-14.69</v>
      </c>
      <c r="F79">
        <v>-5.19</v>
      </c>
      <c r="G79">
        <v>16.28</v>
      </c>
      <c r="H79">
        <v>-4.41</v>
      </c>
    </row>
    <row r="80" spans="1:8">
      <c r="A80" s="4">
        <v>32933</v>
      </c>
      <c r="B80">
        <v>-7.36</v>
      </c>
      <c r="C80">
        <v>-9.3000000000000007</v>
      </c>
      <c r="D80">
        <v>0</v>
      </c>
      <c r="E80">
        <v>-1.67</v>
      </c>
      <c r="F80">
        <v>0</v>
      </c>
      <c r="G80">
        <v>-13.5</v>
      </c>
      <c r="H80">
        <v>2.17</v>
      </c>
    </row>
    <row r="81" spans="1:8">
      <c r="A81" s="4">
        <v>32964</v>
      </c>
      <c r="B81">
        <v>-15.89</v>
      </c>
      <c r="C81">
        <v>-2.0499999999999998</v>
      </c>
      <c r="D81">
        <v>-0.94</v>
      </c>
      <c r="E81">
        <v>2.83</v>
      </c>
      <c r="F81">
        <v>-3.98</v>
      </c>
      <c r="G81">
        <v>-10.4</v>
      </c>
      <c r="H81">
        <v>-7.18</v>
      </c>
    </row>
    <row r="82" spans="1:8">
      <c r="A82" s="4">
        <v>32994</v>
      </c>
      <c r="B82">
        <v>-15.35</v>
      </c>
      <c r="C82">
        <v>-4.71</v>
      </c>
      <c r="D82">
        <v>-0.95</v>
      </c>
      <c r="E82">
        <v>-1.65</v>
      </c>
      <c r="F82">
        <v>-1.55</v>
      </c>
      <c r="G82">
        <v>-3.23</v>
      </c>
      <c r="H82">
        <v>-6.18</v>
      </c>
    </row>
    <row r="83" spans="1:8">
      <c r="A83" s="4">
        <v>33025</v>
      </c>
      <c r="B83">
        <v>-9.3000000000000007</v>
      </c>
      <c r="C83">
        <v>-5.49</v>
      </c>
      <c r="D83">
        <v>-12.12</v>
      </c>
      <c r="E83">
        <v>0.11</v>
      </c>
      <c r="F83">
        <v>-4.74</v>
      </c>
      <c r="G83">
        <v>-3.04</v>
      </c>
      <c r="H83">
        <v>-3.28</v>
      </c>
    </row>
    <row r="84" spans="1:8">
      <c r="A84" s="4">
        <v>33055</v>
      </c>
      <c r="B84">
        <v>-18.13</v>
      </c>
      <c r="C84">
        <v>-12.41</v>
      </c>
      <c r="D84">
        <v>-2.11</v>
      </c>
      <c r="E84">
        <v>3.12</v>
      </c>
      <c r="F84">
        <v>8.31</v>
      </c>
      <c r="G84">
        <v>-2.94</v>
      </c>
      <c r="H84">
        <v>-10.86</v>
      </c>
    </row>
    <row r="85" spans="1:8">
      <c r="A85" s="4">
        <v>33086</v>
      </c>
      <c r="B85">
        <v>19.350000000000001</v>
      </c>
      <c r="C85">
        <v>-7.52</v>
      </c>
      <c r="D85">
        <v>2.31</v>
      </c>
      <c r="E85">
        <v>-3.03</v>
      </c>
      <c r="F85">
        <v>-17.59</v>
      </c>
      <c r="G85">
        <v>16.670000000000002</v>
      </c>
      <c r="H85">
        <v>3.59</v>
      </c>
    </row>
    <row r="86" spans="1:8">
      <c r="A86" s="4">
        <v>33117</v>
      </c>
      <c r="B86">
        <v>-18.38</v>
      </c>
      <c r="C86">
        <v>-1.22</v>
      </c>
      <c r="D86">
        <v>-32.409999999999997</v>
      </c>
      <c r="E86">
        <v>-27.03</v>
      </c>
      <c r="F86">
        <v>-18.350000000000001</v>
      </c>
      <c r="G86">
        <v>0.65</v>
      </c>
      <c r="H86">
        <v>-19.350000000000001</v>
      </c>
    </row>
    <row r="87" spans="1:8">
      <c r="A87" s="4">
        <v>33147</v>
      </c>
      <c r="B87">
        <v>-5.96</v>
      </c>
      <c r="C87">
        <v>10.7</v>
      </c>
      <c r="D87">
        <v>5.58</v>
      </c>
      <c r="E87">
        <v>30.62</v>
      </c>
      <c r="F87">
        <v>17.43</v>
      </c>
      <c r="G87">
        <v>-1.29</v>
      </c>
      <c r="H87">
        <v>7.33</v>
      </c>
    </row>
    <row r="88" spans="1:8">
      <c r="A88" s="4">
        <v>33178</v>
      </c>
      <c r="B88">
        <v>-1.41</v>
      </c>
      <c r="C88">
        <v>-1.86</v>
      </c>
      <c r="D88">
        <v>39.08</v>
      </c>
      <c r="E88">
        <v>19.670000000000002</v>
      </c>
      <c r="F88">
        <v>13.28</v>
      </c>
      <c r="G88">
        <v>-0.65</v>
      </c>
      <c r="H88">
        <v>13.77</v>
      </c>
    </row>
    <row r="89" spans="1:8">
      <c r="A89" s="2">
        <v>33208</v>
      </c>
      <c r="B89" s="1">
        <v>22.14</v>
      </c>
      <c r="C89" s="1">
        <v>3.41</v>
      </c>
      <c r="D89" s="1">
        <v>29.11</v>
      </c>
      <c r="E89" s="1">
        <v>19.86</v>
      </c>
      <c r="F89" s="1">
        <v>10.34</v>
      </c>
      <c r="G89" s="1">
        <v>9.8699999999999992</v>
      </c>
      <c r="H89" s="1">
        <v>25</v>
      </c>
    </row>
    <row r="90" spans="1:8">
      <c r="A90" s="2">
        <v>33239</v>
      </c>
      <c r="B90" s="1">
        <v>2.92</v>
      </c>
      <c r="C90" s="1">
        <v>22.34</v>
      </c>
      <c r="D90" s="1">
        <v>-8.6300000000000008</v>
      </c>
      <c r="E90" s="1">
        <v>0</v>
      </c>
      <c r="F90" s="1">
        <v>10.63</v>
      </c>
      <c r="G90" s="1">
        <v>1.2</v>
      </c>
      <c r="H90" s="1">
        <v>5.78</v>
      </c>
    </row>
    <row r="91" spans="1:8">
      <c r="A91" s="2">
        <v>33270</v>
      </c>
      <c r="B91" s="1">
        <v>-9.09</v>
      </c>
      <c r="C91" s="1">
        <v>10.18</v>
      </c>
      <c r="D91" s="1">
        <v>-4.08</v>
      </c>
      <c r="E91" s="1">
        <v>-6.29</v>
      </c>
      <c r="F91" s="1">
        <v>-9.6</v>
      </c>
      <c r="G91" s="1">
        <v>-7.1</v>
      </c>
      <c r="H91" s="1">
        <v>-3</v>
      </c>
    </row>
    <row r="92" spans="1:8">
      <c r="A92" s="2">
        <v>33298</v>
      </c>
      <c r="B92" s="1">
        <v>27.5</v>
      </c>
      <c r="C92" s="1">
        <v>-11.41</v>
      </c>
      <c r="D92" s="1">
        <v>17.45</v>
      </c>
      <c r="E92" s="1">
        <v>17.68</v>
      </c>
      <c r="F92" s="1">
        <v>0.63</v>
      </c>
      <c r="G92" s="1">
        <v>8.92</v>
      </c>
      <c r="H92" s="1">
        <v>8.2799999999999994</v>
      </c>
    </row>
    <row r="93" spans="1:8">
      <c r="A93" s="2">
        <v>33329</v>
      </c>
      <c r="B93" s="1">
        <v>7.84</v>
      </c>
      <c r="C93" s="1">
        <v>-3.07</v>
      </c>
      <c r="D93" s="1">
        <v>0.95</v>
      </c>
      <c r="E93" s="1">
        <v>-9.33</v>
      </c>
      <c r="F93" s="1">
        <v>-5.59</v>
      </c>
      <c r="G93" s="1">
        <v>16.96</v>
      </c>
      <c r="H93" s="1">
        <v>-1.65</v>
      </c>
    </row>
    <row r="94" spans="1:8">
      <c r="A94" s="2">
        <v>33359</v>
      </c>
      <c r="B94" s="1">
        <v>-9.09</v>
      </c>
      <c r="C94" s="1">
        <v>5.0599999999999996</v>
      </c>
      <c r="D94" s="1">
        <v>-14.53</v>
      </c>
      <c r="E94" s="1">
        <v>-2.29</v>
      </c>
      <c r="F94" s="1">
        <v>1.97</v>
      </c>
      <c r="G94" s="1">
        <v>-9.5</v>
      </c>
      <c r="H94" s="1">
        <v>-6.43</v>
      </c>
    </row>
    <row r="95" spans="1:8">
      <c r="A95" s="2">
        <v>33390</v>
      </c>
      <c r="B95" s="1">
        <v>10</v>
      </c>
      <c r="C95" s="1">
        <v>3.61</v>
      </c>
      <c r="D95" s="1">
        <v>-11.48</v>
      </c>
      <c r="E95" s="1">
        <v>-12.51</v>
      </c>
      <c r="F95" s="1">
        <v>-11.94</v>
      </c>
      <c r="G95" s="1">
        <v>-1.66</v>
      </c>
      <c r="H95" s="1">
        <v>-9.1999999999999993</v>
      </c>
    </row>
    <row r="96" spans="1:8">
      <c r="A96" s="2">
        <v>33420</v>
      </c>
      <c r="B96" s="1">
        <v>6.64</v>
      </c>
      <c r="C96" s="1">
        <v>-3.74</v>
      </c>
      <c r="D96" s="1">
        <v>-19.45</v>
      </c>
      <c r="E96" s="1">
        <v>-25.74</v>
      </c>
      <c r="F96" s="1">
        <v>17.420000000000002</v>
      </c>
      <c r="G96" s="1">
        <v>-4.49</v>
      </c>
      <c r="H96" s="1">
        <v>-4.1399999999999997</v>
      </c>
    </row>
    <row r="97" spans="1:8">
      <c r="A97" s="2">
        <v>33451</v>
      </c>
      <c r="B97" s="1">
        <v>-11.3</v>
      </c>
      <c r="C97" s="1">
        <v>2.58</v>
      </c>
      <c r="D97" s="1">
        <v>0.05</v>
      </c>
      <c r="E97" s="1">
        <v>-1.19</v>
      </c>
      <c r="F97" s="1">
        <v>-5.8</v>
      </c>
      <c r="G97" s="1">
        <v>-11.18</v>
      </c>
      <c r="H97" s="1">
        <v>-3.55</v>
      </c>
    </row>
    <row r="98" spans="1:8">
      <c r="A98" s="2">
        <v>33482</v>
      </c>
      <c r="B98" s="1">
        <v>-26.96</v>
      </c>
      <c r="C98" s="1">
        <v>-5.66</v>
      </c>
      <c r="D98" s="1">
        <v>-15.66</v>
      </c>
      <c r="E98" s="1">
        <v>-17.64</v>
      </c>
      <c r="F98" s="1">
        <v>-10.38</v>
      </c>
      <c r="G98" s="1">
        <v>-0.66</v>
      </c>
      <c r="H98" s="1">
        <v>-12.03</v>
      </c>
    </row>
    <row r="99" spans="1:8">
      <c r="A99" s="2">
        <v>33512</v>
      </c>
      <c r="B99" s="1">
        <v>10.74</v>
      </c>
      <c r="C99" s="1">
        <v>24.67</v>
      </c>
      <c r="D99" s="1">
        <v>6.33</v>
      </c>
      <c r="E99" s="1">
        <v>13.14</v>
      </c>
      <c r="F99" s="1">
        <v>7.73</v>
      </c>
      <c r="G99" s="1">
        <v>4</v>
      </c>
      <c r="H99" s="1">
        <v>9.24</v>
      </c>
    </row>
    <row r="100" spans="1:8">
      <c r="A100" s="2">
        <v>33543</v>
      </c>
      <c r="B100" s="1">
        <v>26.67</v>
      </c>
      <c r="C100" s="1">
        <v>3.21</v>
      </c>
      <c r="D100" s="1">
        <v>1.98</v>
      </c>
      <c r="E100" s="1">
        <v>8.6</v>
      </c>
      <c r="F100" s="1">
        <v>3.98</v>
      </c>
      <c r="G100" s="1">
        <v>1.28</v>
      </c>
      <c r="H100" s="1">
        <v>1.48</v>
      </c>
    </row>
    <row r="101" spans="1:8">
      <c r="A101" s="2">
        <v>33573</v>
      </c>
      <c r="B101" s="1">
        <v>0</v>
      </c>
      <c r="C101" s="1">
        <v>0.52</v>
      </c>
      <c r="D101" s="1">
        <v>-17.899999999999999</v>
      </c>
      <c r="E101" s="1">
        <v>-15.64</v>
      </c>
      <c r="F101" s="1">
        <v>-8.0500000000000007</v>
      </c>
      <c r="G101" s="1">
        <v>-4.43</v>
      </c>
      <c r="H101" s="1">
        <v>-4.18</v>
      </c>
    </row>
    <row r="102" spans="1:8">
      <c r="A102" s="2">
        <v>33604</v>
      </c>
      <c r="B102" s="1">
        <v>49.28</v>
      </c>
      <c r="C102" s="1">
        <v>21.13</v>
      </c>
      <c r="D102" s="1">
        <v>1.9</v>
      </c>
      <c r="E102" s="1">
        <v>11.97</v>
      </c>
      <c r="F102" s="1">
        <v>-0.83</v>
      </c>
      <c r="G102" s="1">
        <v>19.21</v>
      </c>
      <c r="H102" s="1">
        <v>12.64</v>
      </c>
    </row>
    <row r="103" spans="1:8">
      <c r="A103" s="2">
        <v>33635</v>
      </c>
      <c r="B103" s="1">
        <v>-21.47</v>
      </c>
      <c r="C103" s="1">
        <v>-8.08</v>
      </c>
      <c r="D103" s="1">
        <v>-8.3699999999999992</v>
      </c>
      <c r="E103" s="1">
        <v>-11.95</v>
      </c>
      <c r="F103" s="1">
        <v>-5.88</v>
      </c>
      <c r="G103" s="1">
        <v>-11.67</v>
      </c>
      <c r="H103" s="1">
        <v>-11.62</v>
      </c>
    </row>
    <row r="104" spans="1:8">
      <c r="A104" s="2">
        <v>33664</v>
      </c>
      <c r="B104" s="1">
        <v>1.63</v>
      </c>
      <c r="C104" s="1">
        <v>-9.26</v>
      </c>
      <c r="D104" s="1">
        <v>-2.0299999999999998</v>
      </c>
      <c r="E104" s="1">
        <v>0.71</v>
      </c>
      <c r="F104" s="1">
        <v>-1.34</v>
      </c>
      <c r="G104" s="1">
        <v>0</v>
      </c>
      <c r="H104" s="1">
        <v>-2.5099999999999998</v>
      </c>
    </row>
    <row r="105" spans="1:8">
      <c r="A105" s="2">
        <v>33695</v>
      </c>
      <c r="B105" s="1">
        <v>-19.68</v>
      </c>
      <c r="C105" s="1">
        <v>-0.51</v>
      </c>
      <c r="D105" s="1">
        <v>3.63</v>
      </c>
      <c r="E105" s="1">
        <v>13</v>
      </c>
      <c r="F105" s="1">
        <v>-1.36</v>
      </c>
      <c r="G105" s="1">
        <v>-1.89</v>
      </c>
      <c r="H105" s="1">
        <v>-4.01</v>
      </c>
    </row>
    <row r="106" spans="1:8">
      <c r="A106" s="2">
        <v>33725</v>
      </c>
      <c r="B106" s="1">
        <v>18</v>
      </c>
      <c r="C106" s="1">
        <v>3.59</v>
      </c>
      <c r="D106" s="1">
        <v>9</v>
      </c>
      <c r="E106" s="1">
        <v>11.93</v>
      </c>
      <c r="F106" s="1">
        <v>6.42</v>
      </c>
      <c r="G106" s="1">
        <v>6.41</v>
      </c>
      <c r="H106" s="1">
        <v>9.83</v>
      </c>
    </row>
    <row r="107" spans="1:8">
      <c r="A107" s="2">
        <v>33756</v>
      </c>
      <c r="B107" s="1">
        <v>-2.97</v>
      </c>
      <c r="C107" s="1">
        <v>18.809999999999999</v>
      </c>
      <c r="D107" s="1">
        <v>2.29</v>
      </c>
      <c r="E107" s="1">
        <v>6.54</v>
      </c>
      <c r="F107" s="1">
        <v>8.19</v>
      </c>
      <c r="G107" s="1">
        <v>10.84</v>
      </c>
      <c r="H107" s="1">
        <v>6.94</v>
      </c>
    </row>
    <row r="108" spans="1:8">
      <c r="A108" s="2">
        <v>33786</v>
      </c>
      <c r="B108" s="1">
        <v>5.24</v>
      </c>
      <c r="C108" s="1">
        <v>7.8</v>
      </c>
      <c r="D108" s="1">
        <v>14.27</v>
      </c>
      <c r="E108" s="1">
        <v>11.79</v>
      </c>
      <c r="F108" s="1">
        <v>25.1</v>
      </c>
      <c r="G108" s="1">
        <v>5.98</v>
      </c>
      <c r="H108" s="1">
        <v>9.16</v>
      </c>
    </row>
    <row r="109" spans="1:8">
      <c r="A109" s="2">
        <v>33817</v>
      </c>
      <c r="B109" s="1">
        <v>7.55</v>
      </c>
      <c r="C109" s="1">
        <v>12.81</v>
      </c>
      <c r="D109" s="1">
        <v>14.29</v>
      </c>
      <c r="E109" s="1">
        <v>13.56</v>
      </c>
      <c r="F109" s="1">
        <v>8.86</v>
      </c>
      <c r="G109" s="1">
        <v>41.48</v>
      </c>
      <c r="H109" s="1">
        <v>6.25</v>
      </c>
    </row>
    <row r="110" spans="1:8">
      <c r="A110" s="2">
        <v>33848</v>
      </c>
      <c r="B110" s="1">
        <v>-2.78</v>
      </c>
      <c r="C110" s="1">
        <v>-5.13</v>
      </c>
      <c r="D110" s="1">
        <v>0</v>
      </c>
      <c r="E110" s="1">
        <v>-0.75</v>
      </c>
      <c r="F110" s="1">
        <v>3.55</v>
      </c>
      <c r="G110" s="1">
        <v>1.1499999999999999</v>
      </c>
      <c r="H110" s="1">
        <v>-0.7</v>
      </c>
    </row>
    <row r="111" spans="1:8">
      <c r="A111" s="2">
        <v>33878</v>
      </c>
      <c r="B111" s="1">
        <v>39.590000000000003</v>
      </c>
      <c r="C111" s="1">
        <v>5.79</v>
      </c>
      <c r="D111" s="1">
        <v>11.07</v>
      </c>
      <c r="E111" s="1">
        <v>0.75</v>
      </c>
      <c r="F111" s="1">
        <v>4.1100000000000003</v>
      </c>
      <c r="G111" s="1">
        <v>0</v>
      </c>
      <c r="H111" s="1">
        <v>7.73</v>
      </c>
    </row>
    <row r="112" spans="1:8">
      <c r="A112" s="2">
        <v>33909</v>
      </c>
      <c r="B112" s="1">
        <v>-11.7</v>
      </c>
      <c r="C112" s="1">
        <v>-0.36</v>
      </c>
      <c r="D112" s="1">
        <v>-3.54</v>
      </c>
      <c r="E112" s="1">
        <v>-5.22</v>
      </c>
      <c r="F112" s="1">
        <v>-13.16</v>
      </c>
      <c r="G112" s="1">
        <v>-8.7100000000000009</v>
      </c>
      <c r="H112" s="1">
        <v>-4.5199999999999996</v>
      </c>
    </row>
    <row r="113" spans="1:8">
      <c r="A113" s="2">
        <v>33939</v>
      </c>
      <c r="B113" s="1">
        <v>10.6</v>
      </c>
      <c r="C113" s="1">
        <v>3.3</v>
      </c>
      <c r="D113" s="1">
        <v>-3</v>
      </c>
      <c r="E113" s="1">
        <v>0</v>
      </c>
      <c r="F113" s="1">
        <v>1.1399999999999999</v>
      </c>
      <c r="G113" s="1">
        <v>5.39</v>
      </c>
      <c r="H113" s="1">
        <v>2.06</v>
      </c>
    </row>
    <row r="114" spans="1:8">
      <c r="A114" s="2">
        <v>33970</v>
      </c>
      <c r="B114" s="1">
        <v>10.18</v>
      </c>
      <c r="C114" s="1">
        <v>4.26</v>
      </c>
      <c r="D114" s="1">
        <v>8.59</v>
      </c>
      <c r="E114" s="1">
        <v>3.94</v>
      </c>
      <c r="F114" s="1">
        <v>16.100000000000001</v>
      </c>
      <c r="G114" s="1">
        <v>38.58</v>
      </c>
      <c r="H114" s="1">
        <v>8.23</v>
      </c>
    </row>
    <row r="115" spans="1:8">
      <c r="A115" s="2">
        <v>34001</v>
      </c>
      <c r="B115" s="1">
        <v>8.6999999999999993</v>
      </c>
      <c r="C115" s="1">
        <v>15.65</v>
      </c>
      <c r="D115" s="1">
        <v>-3.8</v>
      </c>
      <c r="E115" s="1">
        <v>-3.79</v>
      </c>
      <c r="F115" s="1">
        <v>-4.5199999999999996</v>
      </c>
      <c r="G115" s="1">
        <v>14.77</v>
      </c>
      <c r="H115" s="1">
        <v>5.88</v>
      </c>
    </row>
    <row r="116" spans="1:8">
      <c r="A116" s="2">
        <v>34029</v>
      </c>
      <c r="B116" s="1">
        <v>-8</v>
      </c>
      <c r="C116" s="1">
        <v>0.28999999999999998</v>
      </c>
      <c r="D116" s="1">
        <v>-2.63</v>
      </c>
      <c r="E116" s="1">
        <v>-5.51</v>
      </c>
      <c r="F116" s="1">
        <v>-3.72</v>
      </c>
      <c r="G116" s="1">
        <v>-10.89</v>
      </c>
      <c r="H116" s="1">
        <v>-3.38</v>
      </c>
    </row>
    <row r="117" spans="1:8">
      <c r="A117" s="2">
        <v>34060</v>
      </c>
      <c r="B117" s="1">
        <v>-22.55</v>
      </c>
      <c r="C117" s="1">
        <v>-13.2</v>
      </c>
      <c r="D117" s="1">
        <v>0.68</v>
      </c>
      <c r="E117" s="1">
        <v>-4.17</v>
      </c>
      <c r="F117" s="1">
        <v>-8.07</v>
      </c>
      <c r="G117" s="1">
        <v>-16.11</v>
      </c>
      <c r="H117" s="1">
        <v>-6.2</v>
      </c>
    </row>
    <row r="118" spans="1:8">
      <c r="A118" s="2">
        <v>34090</v>
      </c>
      <c r="B118" s="1">
        <v>7.37</v>
      </c>
      <c r="C118" s="1">
        <v>0</v>
      </c>
      <c r="D118" s="1">
        <v>-6.71</v>
      </c>
      <c r="E118" s="1">
        <v>-2.61</v>
      </c>
      <c r="F118" s="1">
        <v>1.91</v>
      </c>
      <c r="G118" s="1">
        <v>25.83</v>
      </c>
      <c r="H118" s="1">
        <v>-2.29</v>
      </c>
    </row>
    <row r="119" spans="1:8">
      <c r="A119" s="2">
        <v>34121</v>
      </c>
      <c r="B119" s="1">
        <v>-0.65</v>
      </c>
      <c r="C119" s="1">
        <v>7.43</v>
      </c>
      <c r="D119" s="1">
        <v>-10.07</v>
      </c>
      <c r="E119" s="1">
        <v>-0.19</v>
      </c>
      <c r="F119" s="1">
        <v>-6.37</v>
      </c>
      <c r="G119" s="1">
        <v>-4.21</v>
      </c>
      <c r="H119" s="1">
        <v>-2.3199999999999998</v>
      </c>
    </row>
    <row r="120" spans="1:8">
      <c r="A120" s="2">
        <v>34151</v>
      </c>
      <c r="B120" s="1">
        <v>-1.64</v>
      </c>
      <c r="C120" s="1">
        <v>4.7300000000000004</v>
      </c>
      <c r="D120" s="1">
        <v>-6.26</v>
      </c>
      <c r="E120" s="1">
        <v>-11.36</v>
      </c>
      <c r="F120" s="1">
        <v>-2</v>
      </c>
      <c r="G120" s="1">
        <v>-6.26</v>
      </c>
      <c r="H120" s="1">
        <v>-7.17</v>
      </c>
    </row>
    <row r="121" spans="1:8">
      <c r="A121" s="2">
        <v>34182</v>
      </c>
      <c r="B121" s="1">
        <v>20.100000000000001</v>
      </c>
      <c r="C121" s="1">
        <v>8.5299999999999994</v>
      </c>
      <c r="D121" s="1">
        <v>6.45</v>
      </c>
      <c r="E121" s="1">
        <v>9.56</v>
      </c>
      <c r="F121" s="1">
        <v>6.31</v>
      </c>
      <c r="G121" s="1">
        <v>4.1399999999999997</v>
      </c>
      <c r="H121" s="1">
        <v>6.36</v>
      </c>
    </row>
    <row r="122" spans="1:8">
      <c r="A122" s="2">
        <v>34213</v>
      </c>
      <c r="B122" s="1">
        <v>10.59</v>
      </c>
      <c r="C122" s="1">
        <v>8.49</v>
      </c>
      <c r="D122" s="1">
        <v>-11.26</v>
      </c>
      <c r="E122" s="1">
        <v>-7.87</v>
      </c>
      <c r="F122" s="1">
        <v>4.93</v>
      </c>
      <c r="G122" s="1">
        <v>3.41</v>
      </c>
      <c r="H122" s="1">
        <v>1.39</v>
      </c>
    </row>
    <row r="123" spans="1:8">
      <c r="A123" s="2">
        <v>34243</v>
      </c>
      <c r="B123" s="1">
        <v>-3.72</v>
      </c>
      <c r="C123" s="1">
        <v>-2.61</v>
      </c>
      <c r="D123" s="1">
        <v>-1.46</v>
      </c>
      <c r="E123" s="1">
        <v>1.1499999999999999</v>
      </c>
      <c r="F123" s="1">
        <v>5.13</v>
      </c>
      <c r="G123" s="1">
        <v>-7.69</v>
      </c>
      <c r="H123" s="1">
        <v>-2.39</v>
      </c>
    </row>
    <row r="124" spans="1:8">
      <c r="A124" s="2">
        <v>34274</v>
      </c>
      <c r="B124" s="1">
        <v>7.18</v>
      </c>
      <c r="C124" s="1">
        <v>5.65</v>
      </c>
      <c r="D124" s="1">
        <v>0</v>
      </c>
      <c r="E124" s="1">
        <v>7.99</v>
      </c>
      <c r="F124" s="1">
        <v>5.69</v>
      </c>
      <c r="G124" s="1">
        <v>4.17</v>
      </c>
      <c r="H124" s="1">
        <v>2.4300000000000002</v>
      </c>
    </row>
    <row r="125" spans="1:8">
      <c r="A125" s="2">
        <v>34304</v>
      </c>
      <c r="B125" s="1">
        <v>7.73</v>
      </c>
      <c r="C125" s="1">
        <v>0.85</v>
      </c>
      <c r="D125" s="1">
        <v>1.49</v>
      </c>
      <c r="E125" s="1">
        <v>6.77</v>
      </c>
      <c r="F125" s="1">
        <v>13.08</v>
      </c>
      <c r="G125" s="1">
        <v>12</v>
      </c>
      <c r="H125" s="1">
        <v>5.05</v>
      </c>
    </row>
    <row r="126" spans="1:8">
      <c r="A126" s="2">
        <v>34335</v>
      </c>
      <c r="B126" s="1">
        <v>-3.83</v>
      </c>
      <c r="C126" s="1">
        <v>-0.56000000000000005</v>
      </c>
      <c r="D126" s="1">
        <v>-0.98</v>
      </c>
      <c r="E126" s="1">
        <v>2.97</v>
      </c>
      <c r="F126" s="1">
        <v>-4.76</v>
      </c>
      <c r="G126" s="1">
        <v>-3.06</v>
      </c>
      <c r="H126" s="1">
        <v>-2.37</v>
      </c>
    </row>
    <row r="127" spans="1:8">
      <c r="A127" s="2">
        <v>34366</v>
      </c>
      <c r="B127" s="1">
        <v>0.5</v>
      </c>
      <c r="C127" s="1">
        <v>3.93</v>
      </c>
      <c r="D127" s="1">
        <v>2.46</v>
      </c>
      <c r="E127" s="1">
        <v>5.77</v>
      </c>
      <c r="F127" s="1">
        <v>3.21</v>
      </c>
      <c r="G127" s="1">
        <v>-2.63</v>
      </c>
      <c r="H127" s="1">
        <v>3.56</v>
      </c>
    </row>
    <row r="128" spans="1:8">
      <c r="A128" s="2">
        <v>34394</v>
      </c>
      <c r="B128" s="1">
        <v>-9.41</v>
      </c>
      <c r="C128" s="1">
        <v>-5</v>
      </c>
      <c r="D128" s="1">
        <v>-8.41</v>
      </c>
      <c r="E128" s="1">
        <v>-6.36</v>
      </c>
      <c r="F128" s="1">
        <v>-3.11</v>
      </c>
      <c r="G128" s="1">
        <v>-9.73</v>
      </c>
      <c r="H128" s="1">
        <v>-3.25</v>
      </c>
    </row>
    <row r="129" spans="1:8">
      <c r="A129" s="2">
        <v>34425</v>
      </c>
      <c r="B129" s="1">
        <v>3.83</v>
      </c>
      <c r="C129" s="1">
        <v>-8.39</v>
      </c>
      <c r="D129" s="1">
        <v>-3.41</v>
      </c>
      <c r="E129" s="1">
        <v>0.78</v>
      </c>
      <c r="F129" s="1">
        <v>6.07</v>
      </c>
      <c r="G129" s="1">
        <v>-17.07</v>
      </c>
      <c r="H129" s="1">
        <v>-3.13</v>
      </c>
    </row>
    <row r="130" spans="1:8">
      <c r="A130" s="2">
        <v>34455</v>
      </c>
      <c r="B130" s="1">
        <v>-6.05</v>
      </c>
      <c r="C130" s="1">
        <v>-4.97</v>
      </c>
      <c r="D130" s="1">
        <v>15.22</v>
      </c>
      <c r="E130" s="1">
        <v>9.6300000000000008</v>
      </c>
      <c r="F130" s="1">
        <v>10.77</v>
      </c>
      <c r="G130" s="1">
        <v>-4.6900000000000004</v>
      </c>
      <c r="H130" s="1">
        <v>3.33</v>
      </c>
    </row>
    <row r="131" spans="1:8">
      <c r="A131" s="2">
        <v>34486</v>
      </c>
      <c r="B131" s="1">
        <v>10.08</v>
      </c>
      <c r="C131" s="1">
        <v>4.58</v>
      </c>
      <c r="D131" s="1">
        <v>8.49</v>
      </c>
      <c r="E131" s="1">
        <v>5.23</v>
      </c>
      <c r="F131" s="1">
        <v>0</v>
      </c>
      <c r="G131" s="1">
        <v>9.4700000000000006</v>
      </c>
      <c r="H131" s="1">
        <v>3.83</v>
      </c>
    </row>
    <row r="132" spans="1:8">
      <c r="A132" s="2">
        <v>34516</v>
      </c>
      <c r="B132" s="1">
        <v>0.76</v>
      </c>
      <c r="C132" s="1">
        <v>-0.81</v>
      </c>
      <c r="D132" s="1">
        <v>-1.96</v>
      </c>
      <c r="E132" s="1">
        <v>-3.45</v>
      </c>
      <c r="F132" s="1">
        <v>8.81</v>
      </c>
      <c r="G132" s="1">
        <v>4.5</v>
      </c>
      <c r="H132" s="1">
        <v>1.1200000000000001</v>
      </c>
    </row>
    <row r="133" spans="1:8">
      <c r="A133" s="2">
        <v>34547</v>
      </c>
      <c r="B133" s="1">
        <v>2.5299999999999998</v>
      </c>
      <c r="C133" s="1">
        <v>5.81</v>
      </c>
      <c r="D133" s="1">
        <v>-3.72</v>
      </c>
      <c r="E133" s="1">
        <v>1.5</v>
      </c>
      <c r="F133" s="1">
        <v>-5.59</v>
      </c>
      <c r="G133" s="1">
        <v>-8.61</v>
      </c>
      <c r="H133" s="1">
        <v>-4.41</v>
      </c>
    </row>
    <row r="134" spans="1:8">
      <c r="A134" s="2">
        <v>34578</v>
      </c>
      <c r="B134" s="1">
        <v>12.23</v>
      </c>
      <c r="C134" s="1">
        <v>4.78</v>
      </c>
      <c r="D134" s="1">
        <v>8.67</v>
      </c>
      <c r="E134" s="1">
        <v>-1.3</v>
      </c>
      <c r="F134" s="1">
        <v>10.85</v>
      </c>
      <c r="G134" s="1">
        <v>-5.43</v>
      </c>
      <c r="H134" s="1">
        <v>1.41</v>
      </c>
    </row>
    <row r="135" spans="1:8">
      <c r="A135" s="2">
        <v>34608</v>
      </c>
      <c r="B135" s="1">
        <v>-1.67</v>
      </c>
      <c r="C135" s="1">
        <v>-10.64</v>
      </c>
      <c r="D135" s="1">
        <v>-16.43</v>
      </c>
      <c r="E135" s="1">
        <v>-2.44</v>
      </c>
      <c r="F135" s="1">
        <v>-6.15</v>
      </c>
      <c r="G135" s="1">
        <v>-21.84</v>
      </c>
      <c r="H135" s="1">
        <v>-5.79</v>
      </c>
    </row>
    <row r="136" spans="1:8">
      <c r="A136" s="2">
        <v>34639</v>
      </c>
      <c r="B136" s="1">
        <v>1.7</v>
      </c>
      <c r="C136" s="1">
        <v>-5.0999999999999996</v>
      </c>
      <c r="D136" s="1">
        <v>5.0599999999999996</v>
      </c>
      <c r="E136" s="1">
        <v>14.42</v>
      </c>
      <c r="F136" s="1">
        <v>16.899999999999999</v>
      </c>
      <c r="G136" s="1">
        <v>0.98</v>
      </c>
      <c r="H136" s="1">
        <v>7.62</v>
      </c>
    </row>
    <row r="137" spans="1:8">
      <c r="A137" s="2">
        <v>34669</v>
      </c>
      <c r="B137" s="1">
        <v>11.93</v>
      </c>
      <c r="C137" s="1">
        <v>-0.4</v>
      </c>
      <c r="D137" s="1">
        <v>-0.53</v>
      </c>
      <c r="E137" s="1">
        <v>5.04</v>
      </c>
      <c r="F137" s="1">
        <v>6.19</v>
      </c>
      <c r="G137" s="1">
        <v>40.78</v>
      </c>
      <c r="H137" s="1">
        <v>5.56</v>
      </c>
    </row>
    <row r="138" spans="1:8">
      <c r="A138" s="2">
        <v>34700</v>
      </c>
      <c r="B138" s="1">
        <v>1.92</v>
      </c>
      <c r="C138" s="1">
        <v>8</v>
      </c>
      <c r="D138" s="1">
        <v>-2.42</v>
      </c>
      <c r="E138" s="1">
        <v>1.6</v>
      </c>
      <c r="F138" s="1">
        <v>19.440000000000001</v>
      </c>
      <c r="G138" s="1">
        <v>-2.76</v>
      </c>
      <c r="H138" s="1">
        <v>-0.25</v>
      </c>
    </row>
    <row r="139" spans="1:8">
      <c r="A139" s="2">
        <v>34731</v>
      </c>
      <c r="B139" s="1">
        <v>2.5099999999999998</v>
      </c>
      <c r="C139" s="1">
        <v>9.44</v>
      </c>
      <c r="D139" s="1">
        <v>5.51</v>
      </c>
      <c r="E139" s="1">
        <v>-4.09</v>
      </c>
      <c r="F139" s="1">
        <v>-4.1900000000000004</v>
      </c>
      <c r="G139" s="1">
        <v>12.06</v>
      </c>
      <c r="H139" s="1">
        <v>0.45</v>
      </c>
    </row>
    <row r="140" spans="1:8">
      <c r="A140" s="2">
        <v>34759</v>
      </c>
      <c r="B140" s="1">
        <v>2.04</v>
      </c>
      <c r="C140" s="1">
        <v>2.88</v>
      </c>
      <c r="D140" s="1">
        <v>7.05</v>
      </c>
      <c r="E140" s="1">
        <v>5.42</v>
      </c>
      <c r="F140" s="1">
        <v>-2.4300000000000002</v>
      </c>
      <c r="G140" s="1">
        <v>-5.38</v>
      </c>
      <c r="H140" s="1">
        <v>0.8</v>
      </c>
    </row>
    <row r="141" spans="1:8">
      <c r="A141" s="2">
        <v>34790</v>
      </c>
      <c r="B141" s="1">
        <v>0</v>
      </c>
      <c r="C141" s="1">
        <v>2.4700000000000002</v>
      </c>
      <c r="D141" s="1">
        <v>8.2899999999999991</v>
      </c>
      <c r="E141" s="1">
        <v>6.07</v>
      </c>
      <c r="F141" s="1">
        <v>7.71</v>
      </c>
      <c r="G141" s="1">
        <v>29.77</v>
      </c>
      <c r="H141" s="1">
        <v>8.43</v>
      </c>
    </row>
    <row r="142" spans="1:8">
      <c r="A142" s="2">
        <v>34820</v>
      </c>
      <c r="B142" s="1">
        <v>8.8000000000000007</v>
      </c>
      <c r="C142" s="1">
        <v>-2.09</v>
      </c>
      <c r="D142" s="1">
        <v>-9.01</v>
      </c>
      <c r="E142" s="1">
        <v>-11.45</v>
      </c>
      <c r="F142" s="1">
        <v>-4.8499999999999996</v>
      </c>
      <c r="G142" s="1">
        <v>17.53</v>
      </c>
      <c r="H142" s="1">
        <v>-4.53</v>
      </c>
    </row>
    <row r="143" spans="1:8">
      <c r="A143" s="2">
        <v>34851</v>
      </c>
      <c r="B143" s="1">
        <v>-12.5</v>
      </c>
      <c r="C143" s="1">
        <v>5.25</v>
      </c>
      <c r="D143" s="1">
        <v>-3.96</v>
      </c>
      <c r="E143" s="1">
        <v>4.18</v>
      </c>
      <c r="F143" s="1">
        <v>-2.91</v>
      </c>
      <c r="G143" s="1">
        <v>4.3899999999999997</v>
      </c>
      <c r="H143" s="1">
        <v>-2.08</v>
      </c>
    </row>
    <row r="144" spans="1:8">
      <c r="A144" s="2">
        <v>34881</v>
      </c>
      <c r="B144" s="1">
        <v>1.47</v>
      </c>
      <c r="C144" s="1">
        <v>-3.54</v>
      </c>
      <c r="D144" s="1">
        <v>-7.22</v>
      </c>
      <c r="E144" s="1">
        <v>-6.16</v>
      </c>
      <c r="F144" s="1">
        <v>-3</v>
      </c>
      <c r="G144" s="1">
        <v>-11.55</v>
      </c>
      <c r="H144" s="1">
        <v>-3.73</v>
      </c>
    </row>
    <row r="145" spans="1:8">
      <c r="A145" s="2">
        <v>34912</v>
      </c>
      <c r="B145" s="1">
        <v>-1.83</v>
      </c>
      <c r="C145" s="1">
        <v>1.52</v>
      </c>
      <c r="D145" s="1">
        <v>3.34</v>
      </c>
      <c r="E145" s="1">
        <v>6.02</v>
      </c>
      <c r="F145" s="1">
        <v>16.239999999999998</v>
      </c>
      <c r="G145" s="1">
        <v>-12.35</v>
      </c>
      <c r="H145" s="1">
        <v>2.44</v>
      </c>
    </row>
    <row r="146" spans="1:8">
      <c r="A146" s="2">
        <v>34943</v>
      </c>
      <c r="B146" s="1">
        <v>12.98</v>
      </c>
      <c r="C146" s="1">
        <v>6.74</v>
      </c>
      <c r="D146" s="1">
        <v>3.06</v>
      </c>
      <c r="E146" s="1">
        <v>2.75</v>
      </c>
      <c r="F146" s="1">
        <v>8.6300000000000008</v>
      </c>
      <c r="G146" s="1">
        <v>12.2</v>
      </c>
      <c r="H146" s="1">
        <v>4.0999999999999996</v>
      </c>
    </row>
    <row r="147" spans="1:8">
      <c r="A147" s="2">
        <v>34973</v>
      </c>
      <c r="B147" s="1">
        <v>5.85</v>
      </c>
      <c r="C147" s="1">
        <v>3.16</v>
      </c>
      <c r="D147" s="1">
        <v>0</v>
      </c>
      <c r="E147" s="1">
        <v>2.1800000000000002</v>
      </c>
      <c r="F147" s="1">
        <v>6.95</v>
      </c>
      <c r="G147" s="1">
        <v>-1.93</v>
      </c>
      <c r="H147" s="1">
        <v>2.0099999999999998</v>
      </c>
    </row>
    <row r="148" spans="1:8">
      <c r="A148" s="2">
        <v>35004</v>
      </c>
      <c r="B148" s="1">
        <v>11.81</v>
      </c>
      <c r="C148" s="1">
        <v>11.56</v>
      </c>
      <c r="D148" s="1">
        <v>14.02</v>
      </c>
      <c r="E148" s="1">
        <v>7.38</v>
      </c>
      <c r="F148" s="1">
        <v>9.2799999999999994</v>
      </c>
      <c r="G148" s="1">
        <v>22.41</v>
      </c>
      <c r="H148" s="1">
        <v>7.78</v>
      </c>
    </row>
    <row r="149" spans="1:8">
      <c r="A149" s="2">
        <v>35034</v>
      </c>
      <c r="B149" s="1">
        <v>0.34</v>
      </c>
      <c r="C149" s="1">
        <v>5.49</v>
      </c>
      <c r="D149" s="1">
        <v>-4.26</v>
      </c>
      <c r="E149" s="1">
        <v>3.05</v>
      </c>
      <c r="F149" s="1">
        <v>-1.27</v>
      </c>
      <c r="G149" s="1">
        <v>-5.84</v>
      </c>
      <c r="H149" s="1">
        <v>3.38</v>
      </c>
    </row>
    <row r="150" spans="1:8">
      <c r="A150" s="2">
        <v>35065</v>
      </c>
      <c r="B150" s="1">
        <v>-4.24</v>
      </c>
      <c r="C150" s="1">
        <v>-1.73</v>
      </c>
      <c r="D150" s="1">
        <v>1.98</v>
      </c>
      <c r="E150" s="1">
        <v>-0.15</v>
      </c>
      <c r="F150" s="1">
        <v>-3.23</v>
      </c>
      <c r="G150" s="1">
        <v>-16.670000000000002</v>
      </c>
      <c r="H150" s="1">
        <v>-1.59</v>
      </c>
    </row>
    <row r="151" spans="1:8">
      <c r="A151" s="2">
        <v>35096</v>
      </c>
      <c r="B151" s="1">
        <v>-1.95</v>
      </c>
      <c r="C151" s="1">
        <v>7.35</v>
      </c>
      <c r="D151" s="1">
        <v>-2.1800000000000002</v>
      </c>
      <c r="E151" s="1">
        <v>2.82</v>
      </c>
      <c r="F151" s="1">
        <v>2.2200000000000002</v>
      </c>
      <c r="G151" s="1">
        <v>14.36</v>
      </c>
      <c r="H151" s="1">
        <v>2.63</v>
      </c>
    </row>
    <row r="152" spans="1:8">
      <c r="A152" s="2">
        <v>35125</v>
      </c>
      <c r="B152" s="1">
        <v>0.9</v>
      </c>
      <c r="C152" s="1">
        <v>2.19</v>
      </c>
      <c r="D152" s="1">
        <v>-5.45</v>
      </c>
      <c r="E152" s="1">
        <v>-2.02</v>
      </c>
      <c r="F152" s="1">
        <v>-3.48</v>
      </c>
      <c r="G152" s="1">
        <v>-12.78</v>
      </c>
      <c r="H152" s="1">
        <v>-0.22</v>
      </c>
    </row>
    <row r="153" spans="1:8">
      <c r="A153" s="2">
        <v>35156</v>
      </c>
      <c r="B153" s="1">
        <v>6.63</v>
      </c>
      <c r="C153" s="1">
        <v>1.34</v>
      </c>
      <c r="D153" s="1">
        <v>0</v>
      </c>
      <c r="E153" s="1">
        <v>1.18</v>
      </c>
      <c r="F153" s="1">
        <v>-0.23</v>
      </c>
      <c r="G153" s="1">
        <v>-2.57</v>
      </c>
      <c r="H153" s="1">
        <v>-0.11</v>
      </c>
    </row>
    <row r="154" spans="1:8">
      <c r="A154" s="2">
        <v>35186</v>
      </c>
      <c r="B154" s="1">
        <v>4.54</v>
      </c>
      <c r="C154" s="1">
        <v>1.85</v>
      </c>
      <c r="D154" s="1">
        <v>0.52</v>
      </c>
      <c r="E154" s="1">
        <v>-0.73</v>
      </c>
      <c r="F154" s="1">
        <v>5.42</v>
      </c>
      <c r="G154" s="1">
        <v>-0.26</v>
      </c>
      <c r="H154" s="1">
        <v>3.42</v>
      </c>
    </row>
    <row r="155" spans="1:8">
      <c r="A155" s="2">
        <v>35217</v>
      </c>
      <c r="B155" s="1">
        <v>22.51</v>
      </c>
      <c r="C155" s="1">
        <v>3.9</v>
      </c>
      <c r="D155" s="1">
        <v>3.39</v>
      </c>
      <c r="E155" s="1">
        <v>9.25</v>
      </c>
      <c r="F155" s="1">
        <v>21.63</v>
      </c>
      <c r="G155" s="1">
        <v>1.59</v>
      </c>
      <c r="H155" s="1">
        <v>9.06</v>
      </c>
    </row>
    <row r="156" spans="1:8">
      <c r="A156" s="2">
        <v>35247</v>
      </c>
      <c r="B156" s="1">
        <v>10.35</v>
      </c>
      <c r="C156" s="1">
        <v>17.43</v>
      </c>
      <c r="D156" s="1">
        <v>-4.7</v>
      </c>
      <c r="E156" s="1">
        <v>-8.32</v>
      </c>
      <c r="F156" s="1">
        <v>-4.2300000000000004</v>
      </c>
      <c r="G156" s="1">
        <v>3.59</v>
      </c>
      <c r="H156" s="1">
        <v>4.55</v>
      </c>
    </row>
    <row r="157" spans="1:8">
      <c r="A157" s="2">
        <v>35278</v>
      </c>
      <c r="B157" s="1">
        <v>6.4</v>
      </c>
      <c r="C157" s="1">
        <v>4.1900000000000004</v>
      </c>
      <c r="D157" s="1">
        <v>1.0900000000000001</v>
      </c>
      <c r="E157" s="1">
        <v>-3.54</v>
      </c>
      <c r="F157" s="1">
        <v>9.2100000000000009</v>
      </c>
      <c r="G157" s="1">
        <v>-19.79</v>
      </c>
      <c r="H157" s="1">
        <v>-3.29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標準差與幾何平均值</vt:lpstr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2017-09-06T07:57:36Z</dcterms:modified>
</cp:coreProperties>
</file>