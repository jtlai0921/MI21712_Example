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9章 投資的風險與報酬\"/>
    </mc:Choice>
  </mc:AlternateContent>
  <bookViews>
    <workbookView xWindow="0" yWindow="0" windowWidth="20028" windowHeight="913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7" i="1" l="1"/>
  <c r="C21" i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B48" i="1" l="1"/>
  <c r="B47" i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</calcChain>
</file>

<file path=xl/sharedStrings.xml><?xml version="1.0" encoding="utf-8"?>
<sst xmlns="http://schemas.openxmlformats.org/spreadsheetml/2006/main" count="4" uniqueCount="4">
  <si>
    <t>年報酬率</t>
  </si>
  <si>
    <t>算術平均值</t>
  </si>
  <si>
    <t>標準差</t>
  </si>
  <si>
    <t>幾何平均值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</si>
</sst>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>
      <alignment vertical="center"/>
    </xf>
    <xf numFmtId="2" fontId="0" fillId="0" borderId="0" xfId="0" applyNumberFormat="1">
      <alignment vertical="center"/>
    </xf>
    <xf numFmtId="176" fontId="6" fillId="0" borderId="0" xfId="0" applyNumberFormat="1" applyFont="1">
      <alignment vertical="center"/>
    </xf>
    <xf numFmtId="10" fontId="6" fillId="0" borderId="0" xfId="1" applyNumberFormat="1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年報酬率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工作表1!$A$2:$A$46</c:f>
              <c:numCache>
                <c:formatCode>General</c:formatCode>
                <c:ptCount val="4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</c:numCache>
            </c:numRef>
          </c:cat>
          <c:val>
            <c:numRef>
              <c:f>工作表1!$B$2:$B$46</c:f>
              <c:numCache>
                <c:formatCode>General</c:formatCode>
                <c:ptCount val="45"/>
                <c:pt idx="0">
                  <c:v>9.6</c:v>
                </c:pt>
                <c:pt idx="1">
                  <c:v>68.7</c:v>
                </c:pt>
                <c:pt idx="2">
                  <c:v>117.3</c:v>
                </c:pt>
                <c:pt idx="3">
                  <c:v>-61</c:v>
                </c:pt>
                <c:pt idx="4">
                  <c:v>71</c:v>
                </c:pt>
                <c:pt idx="5">
                  <c:v>12.8</c:v>
                </c:pt>
                <c:pt idx="6">
                  <c:v>21</c:v>
                </c:pt>
                <c:pt idx="7">
                  <c:v>18.2</c:v>
                </c:pt>
                <c:pt idx="8">
                  <c:v>3.2</c:v>
                </c:pt>
                <c:pt idx="9">
                  <c:v>1.6</c:v>
                </c:pt>
                <c:pt idx="10">
                  <c:v>-1.33</c:v>
                </c:pt>
                <c:pt idx="11">
                  <c:v>-19.5</c:v>
                </c:pt>
                <c:pt idx="12">
                  <c:v>71.77</c:v>
                </c:pt>
                <c:pt idx="13">
                  <c:v>9.99</c:v>
                </c:pt>
                <c:pt idx="14">
                  <c:v>-0.35</c:v>
                </c:pt>
                <c:pt idx="15">
                  <c:v>24.43</c:v>
                </c:pt>
                <c:pt idx="16">
                  <c:v>125.18</c:v>
                </c:pt>
                <c:pt idx="17">
                  <c:v>118.78</c:v>
                </c:pt>
                <c:pt idx="18">
                  <c:v>88</c:v>
                </c:pt>
                <c:pt idx="19">
                  <c:v>-52.93</c:v>
                </c:pt>
                <c:pt idx="20">
                  <c:v>1.56</c:v>
                </c:pt>
                <c:pt idx="21">
                  <c:v>-26.6</c:v>
                </c:pt>
                <c:pt idx="22">
                  <c:v>79.760000000000005</c:v>
                </c:pt>
                <c:pt idx="23">
                  <c:v>17.36</c:v>
                </c:pt>
                <c:pt idx="24">
                  <c:v>-27.38</c:v>
                </c:pt>
                <c:pt idx="25">
                  <c:v>34.020000000000003</c:v>
                </c:pt>
                <c:pt idx="26">
                  <c:v>18.079999999999998</c:v>
                </c:pt>
                <c:pt idx="27">
                  <c:v>-21.6</c:v>
                </c:pt>
                <c:pt idx="28">
                  <c:v>31.63</c:v>
                </c:pt>
                <c:pt idx="29">
                  <c:v>-43.91</c:v>
                </c:pt>
                <c:pt idx="30">
                  <c:v>17.14</c:v>
                </c:pt>
                <c:pt idx="31">
                  <c:v>-19.79</c:v>
                </c:pt>
                <c:pt idx="32">
                  <c:v>32.299999999999997</c:v>
                </c:pt>
                <c:pt idx="33">
                  <c:v>4.2300000000000004</c:v>
                </c:pt>
                <c:pt idx="34">
                  <c:v>6.66</c:v>
                </c:pt>
                <c:pt idx="35">
                  <c:v>19.48</c:v>
                </c:pt>
                <c:pt idx="36">
                  <c:v>8.7200000000000006</c:v>
                </c:pt>
                <c:pt idx="37">
                  <c:v>-46.03</c:v>
                </c:pt>
                <c:pt idx="38">
                  <c:v>78.34</c:v>
                </c:pt>
                <c:pt idx="39">
                  <c:v>9.58</c:v>
                </c:pt>
                <c:pt idx="40">
                  <c:v>-21.18</c:v>
                </c:pt>
                <c:pt idx="41">
                  <c:v>8.8699999999999992</c:v>
                </c:pt>
                <c:pt idx="42">
                  <c:v>11.85</c:v>
                </c:pt>
                <c:pt idx="43">
                  <c:v>8.08</c:v>
                </c:pt>
                <c:pt idx="44">
                  <c:v>-10.41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3-489A-8FAD-4B6D31ABF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overlap val="19"/>
        <c:axId val="1669808159"/>
        <c:axId val="1669807743"/>
      </c:barChart>
      <c:catAx>
        <c:axId val="1669808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年度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69807743"/>
        <c:crosses val="autoZero"/>
        <c:auto val="1"/>
        <c:lblAlgn val="ctr"/>
        <c:lblOffset val="100"/>
        <c:noMultiLvlLbl val="0"/>
      </c:catAx>
      <c:valAx>
        <c:axId val="166980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200" b="0" i="0" baseline="0">
                    <a:effectLst/>
                  </a:rPr>
                  <a:t>年報酬率</a:t>
                </a:r>
                <a:r>
                  <a:rPr lang="en-US" altLang="zh-TW" sz="1200" b="0" i="0" baseline="0">
                    <a:effectLst/>
                  </a:rPr>
                  <a:t> </a:t>
                </a:r>
                <a:r>
                  <a:rPr lang="en-US" altLang="zh-TW" sz="1200"/>
                  <a:t>(%)</a:t>
                </a:r>
                <a:endParaRPr lang="zh-TW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6980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32</xdr:row>
      <xdr:rowOff>179070</xdr:rowOff>
    </xdr:from>
    <xdr:to>
      <xdr:col>11</xdr:col>
      <xdr:colOff>510540</xdr:colOff>
      <xdr:row>45</xdr:row>
      <xdr:rowOff>125730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topLeftCell="A34" workbookViewId="0">
      <selection activeCell="L12" sqref="L12"/>
    </sheetView>
  </sheetViews>
  <sheetFormatPr defaultRowHeight="16.2" x14ac:dyDescent="0.3"/>
  <cols>
    <col min="1" max="1" width="11.6640625" customWidth="1"/>
    <col min="2" max="2" width="10.109375" bestFit="1" customWidth="1"/>
    <col min="3" max="3" width="9.109375" bestFit="1" customWidth="1"/>
  </cols>
  <sheetData>
    <row r="1" spans="1:3" ht="16.8" thickBot="1" x14ac:dyDescent="0.35">
      <c r="B1" s="7" t="s">
        <v>0</v>
      </c>
      <c r="C1">
        <v>1</v>
      </c>
    </row>
    <row r="2" spans="1:3" ht="16.8" thickBot="1" x14ac:dyDescent="0.35">
      <c r="A2" s="4">
        <v>1971</v>
      </c>
      <c r="B2" s="1">
        <v>9.6</v>
      </c>
      <c r="C2" s="8">
        <f>C1*(1+B2/100)</f>
        <v>1.0960000000000001</v>
      </c>
    </row>
    <row r="3" spans="1:3" ht="16.8" thickBot="1" x14ac:dyDescent="0.35">
      <c r="A3" s="5">
        <v>1972</v>
      </c>
      <c r="B3" s="2">
        <v>68.7</v>
      </c>
      <c r="C3" s="8">
        <f t="shared" ref="C3:C46" si="0">C2*(1+B3/100)</f>
        <v>1.8489520000000002</v>
      </c>
    </row>
    <row r="4" spans="1:3" ht="16.8" thickBot="1" x14ac:dyDescent="0.35">
      <c r="A4" s="5">
        <v>1973</v>
      </c>
      <c r="B4" s="2">
        <v>117.3</v>
      </c>
      <c r="C4" s="8">
        <f t="shared" si="0"/>
        <v>4.0177726960000006</v>
      </c>
    </row>
    <row r="5" spans="1:3" ht="16.8" thickBot="1" x14ac:dyDescent="0.35">
      <c r="A5" s="5">
        <v>1974</v>
      </c>
      <c r="B5" s="2">
        <v>-61</v>
      </c>
      <c r="C5" s="8">
        <f t="shared" si="0"/>
        <v>1.5669313514400003</v>
      </c>
    </row>
    <row r="6" spans="1:3" ht="16.8" thickBot="1" x14ac:dyDescent="0.35">
      <c r="A6" s="5">
        <v>1975</v>
      </c>
      <c r="B6" s="2">
        <v>71</v>
      </c>
      <c r="C6" s="8">
        <f t="shared" si="0"/>
        <v>2.6794526109624006</v>
      </c>
    </row>
    <row r="7" spans="1:3" ht="16.8" thickBot="1" x14ac:dyDescent="0.35">
      <c r="A7" s="5">
        <v>1976</v>
      </c>
      <c r="B7" s="2">
        <v>12.8</v>
      </c>
      <c r="C7" s="8">
        <f t="shared" si="0"/>
        <v>3.0224225451655884</v>
      </c>
    </row>
    <row r="8" spans="1:3" ht="16.8" thickBot="1" x14ac:dyDescent="0.35">
      <c r="A8" s="5">
        <v>1977</v>
      </c>
      <c r="B8" s="2">
        <v>21</v>
      </c>
      <c r="C8" s="8">
        <f t="shared" si="0"/>
        <v>3.6571312796503617</v>
      </c>
    </row>
    <row r="9" spans="1:3" ht="16.8" thickBot="1" x14ac:dyDescent="0.35">
      <c r="A9" s="5">
        <v>1978</v>
      </c>
      <c r="B9" s="2">
        <v>18.2</v>
      </c>
      <c r="C9" s="8">
        <f t="shared" si="0"/>
        <v>4.322729172546727</v>
      </c>
    </row>
    <row r="10" spans="1:3" ht="16.8" thickBot="1" x14ac:dyDescent="0.35">
      <c r="A10" s="5">
        <v>1979</v>
      </c>
      <c r="B10" s="2">
        <v>3.2</v>
      </c>
      <c r="C10" s="8">
        <f t="shared" si="0"/>
        <v>4.4610565060682221</v>
      </c>
    </row>
    <row r="11" spans="1:3" ht="16.8" thickBot="1" x14ac:dyDescent="0.35">
      <c r="A11" s="5">
        <v>1980</v>
      </c>
      <c r="B11" s="2">
        <v>1.6</v>
      </c>
      <c r="C11" s="8">
        <f t="shared" si="0"/>
        <v>4.5324334101653134</v>
      </c>
    </row>
    <row r="12" spans="1:3" ht="16.8" thickBot="1" x14ac:dyDescent="0.35">
      <c r="A12" s="5">
        <v>1981</v>
      </c>
      <c r="B12" s="2">
        <v>-1.33</v>
      </c>
      <c r="C12" s="8">
        <f t="shared" si="0"/>
        <v>4.4721520458101152</v>
      </c>
    </row>
    <row r="13" spans="1:3" ht="16.8" thickBot="1" x14ac:dyDescent="0.35">
      <c r="A13" s="5">
        <v>1982</v>
      </c>
      <c r="B13" s="2">
        <v>-19.5</v>
      </c>
      <c r="C13" s="8">
        <f t="shared" si="0"/>
        <v>3.6000823968771423</v>
      </c>
    </row>
    <row r="14" spans="1:3" ht="16.8" thickBot="1" x14ac:dyDescent="0.35">
      <c r="A14" s="5">
        <v>1983</v>
      </c>
      <c r="B14" s="2">
        <v>71.77</v>
      </c>
      <c r="C14" s="8">
        <f t="shared" si="0"/>
        <v>6.1838615331158673</v>
      </c>
    </row>
    <row r="15" spans="1:3" ht="16.8" thickBot="1" x14ac:dyDescent="0.35">
      <c r="A15" s="5">
        <v>1984</v>
      </c>
      <c r="B15" s="2">
        <v>9.99</v>
      </c>
      <c r="C15" s="8">
        <f t="shared" si="0"/>
        <v>6.8016293002741435</v>
      </c>
    </row>
    <row r="16" spans="1:3" ht="16.8" thickBot="1" x14ac:dyDescent="0.35">
      <c r="A16" s="5">
        <v>1985</v>
      </c>
      <c r="B16" s="2">
        <v>-0.35</v>
      </c>
      <c r="C16" s="8">
        <f t="shared" si="0"/>
        <v>6.7778235977231844</v>
      </c>
    </row>
    <row r="17" spans="1:3" ht="16.8" thickBot="1" x14ac:dyDescent="0.35">
      <c r="A17" s="5">
        <v>1986</v>
      </c>
      <c r="B17" s="2">
        <v>24.43</v>
      </c>
      <c r="C17" s="8">
        <f t="shared" si="0"/>
        <v>8.4336459026469583</v>
      </c>
    </row>
    <row r="18" spans="1:3" ht="16.8" thickBot="1" x14ac:dyDescent="0.35">
      <c r="A18" s="5">
        <v>1987</v>
      </c>
      <c r="B18" s="2">
        <v>125.18</v>
      </c>
      <c r="C18" s="8">
        <f t="shared" si="0"/>
        <v>18.990883843580423</v>
      </c>
    </row>
    <row r="19" spans="1:3" ht="16.8" thickBot="1" x14ac:dyDescent="0.35">
      <c r="A19" s="5">
        <v>1988</v>
      </c>
      <c r="B19" s="2">
        <v>118.78</v>
      </c>
      <c r="C19" s="8">
        <f t="shared" si="0"/>
        <v>41.548255672985256</v>
      </c>
    </row>
    <row r="20" spans="1:3" ht="16.8" thickBot="1" x14ac:dyDescent="0.35">
      <c r="A20" s="5">
        <v>1989</v>
      </c>
      <c r="B20" s="2">
        <v>88</v>
      </c>
      <c r="C20" s="8">
        <f t="shared" si="0"/>
        <v>78.110720665212284</v>
      </c>
    </row>
    <row r="21" spans="1:3" ht="16.8" thickBot="1" x14ac:dyDescent="0.35">
      <c r="A21" s="5">
        <v>1990</v>
      </c>
      <c r="B21" s="2">
        <v>-52.93</v>
      </c>
      <c r="C21" s="8">
        <f t="shared" si="0"/>
        <v>36.766716217115423</v>
      </c>
    </row>
    <row r="22" spans="1:3" ht="16.8" thickBot="1" x14ac:dyDescent="0.35">
      <c r="A22" s="5">
        <v>1991</v>
      </c>
      <c r="B22" s="2">
        <v>1.56</v>
      </c>
      <c r="C22" s="8">
        <f t="shared" si="0"/>
        <v>37.340276990102424</v>
      </c>
    </row>
    <row r="23" spans="1:3" ht="16.8" thickBot="1" x14ac:dyDescent="0.35">
      <c r="A23" s="5">
        <v>1992</v>
      </c>
      <c r="B23" s="2">
        <v>-26.6</v>
      </c>
      <c r="C23" s="8">
        <f t="shared" si="0"/>
        <v>27.407763310735177</v>
      </c>
    </row>
    <row r="24" spans="1:3" ht="16.8" thickBot="1" x14ac:dyDescent="0.35">
      <c r="A24" s="5">
        <v>1993</v>
      </c>
      <c r="B24" s="2">
        <v>79.760000000000005</v>
      </c>
      <c r="C24" s="8">
        <f t="shared" si="0"/>
        <v>49.268195327377555</v>
      </c>
    </row>
    <row r="25" spans="1:3" ht="16.8" thickBot="1" x14ac:dyDescent="0.35">
      <c r="A25" s="5">
        <v>1994</v>
      </c>
      <c r="B25" s="2">
        <v>17.36</v>
      </c>
      <c r="C25" s="8">
        <f t="shared" si="0"/>
        <v>57.821154036210295</v>
      </c>
    </row>
    <row r="26" spans="1:3" ht="16.8" thickBot="1" x14ac:dyDescent="0.35">
      <c r="A26" s="5">
        <v>1995</v>
      </c>
      <c r="B26" s="2">
        <v>-27.38</v>
      </c>
      <c r="C26" s="8">
        <f t="shared" si="0"/>
        <v>41.989722061095911</v>
      </c>
    </row>
    <row r="27" spans="1:3" ht="16.8" thickBot="1" x14ac:dyDescent="0.35">
      <c r="A27" s="5">
        <v>1996</v>
      </c>
      <c r="B27" s="2">
        <v>34.020000000000003</v>
      </c>
      <c r="C27" s="8">
        <f t="shared" si="0"/>
        <v>56.274625506280742</v>
      </c>
    </row>
    <row r="28" spans="1:3" ht="16.8" thickBot="1" x14ac:dyDescent="0.35">
      <c r="A28" s="5">
        <v>1997</v>
      </c>
      <c r="B28" s="2">
        <v>18.079999999999998</v>
      </c>
      <c r="C28" s="8">
        <f t="shared" si="0"/>
        <v>66.449077797816301</v>
      </c>
    </row>
    <row r="29" spans="1:3" ht="16.8" thickBot="1" x14ac:dyDescent="0.35">
      <c r="A29" s="5">
        <v>1998</v>
      </c>
      <c r="B29" s="2">
        <v>-21.6</v>
      </c>
      <c r="C29" s="8">
        <f t="shared" si="0"/>
        <v>52.096076993487983</v>
      </c>
    </row>
    <row r="30" spans="1:3" ht="16.8" thickBot="1" x14ac:dyDescent="0.35">
      <c r="A30" s="5">
        <v>1999</v>
      </c>
      <c r="B30" s="2">
        <v>31.63</v>
      </c>
      <c r="C30" s="8">
        <f t="shared" si="0"/>
        <v>68.574066146528239</v>
      </c>
    </row>
    <row r="31" spans="1:3" ht="16.8" thickBot="1" x14ac:dyDescent="0.35">
      <c r="A31" s="5">
        <v>2000</v>
      </c>
      <c r="B31" s="2">
        <v>-43.91</v>
      </c>
      <c r="C31" s="8">
        <f t="shared" si="0"/>
        <v>38.463193701587684</v>
      </c>
    </row>
    <row r="32" spans="1:3" ht="16.8" thickBot="1" x14ac:dyDescent="0.35">
      <c r="A32" s="5">
        <v>2001</v>
      </c>
      <c r="B32" s="2">
        <v>17.14</v>
      </c>
      <c r="C32" s="8">
        <f t="shared" si="0"/>
        <v>45.055785102039813</v>
      </c>
    </row>
    <row r="33" spans="1:4" ht="16.8" thickBot="1" x14ac:dyDescent="0.35">
      <c r="A33" s="5">
        <v>2002</v>
      </c>
      <c r="B33" s="2">
        <v>-19.79</v>
      </c>
      <c r="C33" s="8">
        <f t="shared" si="0"/>
        <v>36.139245230346134</v>
      </c>
    </row>
    <row r="34" spans="1:4" ht="16.8" thickBot="1" x14ac:dyDescent="0.35">
      <c r="A34" s="5">
        <v>2003</v>
      </c>
      <c r="B34" s="2">
        <v>32.299999999999997</v>
      </c>
      <c r="C34" s="8">
        <f t="shared" si="0"/>
        <v>47.812221439747937</v>
      </c>
    </row>
    <row r="35" spans="1:4" ht="16.8" thickBot="1" x14ac:dyDescent="0.35">
      <c r="A35" s="5">
        <v>2004</v>
      </c>
      <c r="B35" s="2">
        <v>4.2300000000000004</v>
      </c>
      <c r="C35" s="8">
        <f t="shared" si="0"/>
        <v>49.834678406649275</v>
      </c>
    </row>
    <row r="36" spans="1:4" ht="16.8" thickBot="1" x14ac:dyDescent="0.35">
      <c r="A36" s="5">
        <v>2005</v>
      </c>
      <c r="B36" s="2">
        <v>6.66</v>
      </c>
      <c r="C36" s="8">
        <f t="shared" si="0"/>
        <v>53.153667988532113</v>
      </c>
    </row>
    <row r="37" spans="1:4" ht="16.8" thickBot="1" x14ac:dyDescent="0.35">
      <c r="A37" s="6">
        <v>2006</v>
      </c>
      <c r="B37" s="3">
        <v>19.48</v>
      </c>
      <c r="C37" s="8">
        <f t="shared" si="0"/>
        <v>63.508002512698177</v>
      </c>
    </row>
    <row r="38" spans="1:4" ht="17.399999999999999" thickTop="1" thickBot="1" x14ac:dyDescent="0.35">
      <c r="A38" s="5">
        <v>2007</v>
      </c>
      <c r="B38" s="2">
        <v>8.7200000000000006</v>
      </c>
      <c r="C38" s="8">
        <f t="shared" si="0"/>
        <v>69.045900331805456</v>
      </c>
    </row>
    <row r="39" spans="1:4" ht="16.8" thickBot="1" x14ac:dyDescent="0.35">
      <c r="A39" s="5">
        <v>2008</v>
      </c>
      <c r="B39" s="2">
        <v>-46.03</v>
      </c>
      <c r="C39" s="8">
        <f t="shared" si="0"/>
        <v>37.264072409075411</v>
      </c>
    </row>
    <row r="40" spans="1:4" ht="16.8" thickBot="1" x14ac:dyDescent="0.35">
      <c r="A40" s="6">
        <v>2009</v>
      </c>
      <c r="B40" s="2">
        <v>78.34</v>
      </c>
      <c r="C40" s="8">
        <f t="shared" si="0"/>
        <v>66.456746734345089</v>
      </c>
    </row>
    <row r="41" spans="1:4" ht="17.399999999999999" thickTop="1" thickBot="1" x14ac:dyDescent="0.35">
      <c r="A41" s="5">
        <v>2010</v>
      </c>
      <c r="B41" s="2">
        <v>9.58</v>
      </c>
      <c r="C41" s="8">
        <f t="shared" si="0"/>
        <v>72.82330307149536</v>
      </c>
    </row>
    <row r="42" spans="1:4" ht="16.8" thickBot="1" x14ac:dyDescent="0.35">
      <c r="A42" s="5">
        <v>2011</v>
      </c>
      <c r="B42" s="2">
        <v>-21.18</v>
      </c>
      <c r="C42" s="8">
        <f t="shared" si="0"/>
        <v>57.399327480952643</v>
      </c>
    </row>
    <row r="43" spans="1:4" ht="16.8" thickBot="1" x14ac:dyDescent="0.35">
      <c r="A43" s="6">
        <v>2012</v>
      </c>
      <c r="B43" s="2">
        <v>8.8699999999999992</v>
      </c>
      <c r="C43" s="8">
        <f t="shared" si="0"/>
        <v>62.49064782851314</v>
      </c>
    </row>
    <row r="44" spans="1:4" ht="17.399999999999999" thickTop="1" thickBot="1" x14ac:dyDescent="0.35">
      <c r="A44" s="5">
        <v>2013</v>
      </c>
      <c r="B44" s="2">
        <v>11.85</v>
      </c>
      <c r="C44" s="8">
        <f t="shared" si="0"/>
        <v>69.895789596191946</v>
      </c>
    </row>
    <row r="45" spans="1:4" ht="16.8" thickBot="1" x14ac:dyDescent="0.35">
      <c r="A45" s="5">
        <v>2014</v>
      </c>
      <c r="B45" s="2">
        <v>8.08</v>
      </c>
      <c r="C45" s="8">
        <f t="shared" si="0"/>
        <v>75.543369395564255</v>
      </c>
    </row>
    <row r="46" spans="1:4" ht="16.8" thickBot="1" x14ac:dyDescent="0.35">
      <c r="A46" s="6">
        <v>2015</v>
      </c>
      <c r="B46" s="2">
        <v>-10.41</v>
      </c>
      <c r="C46" s="8">
        <f t="shared" si="0"/>
        <v>67.679304641486013</v>
      </c>
    </row>
    <row r="47" spans="1:4" ht="16.8" thickTop="1" x14ac:dyDescent="0.3">
      <c r="A47" s="12" t="s">
        <v>1</v>
      </c>
      <c r="B47" s="9">
        <f>AVERAGE(B2:B46)</f>
        <v>17.715555555555561</v>
      </c>
      <c r="C47" s="10">
        <f>C46^(1/45)-1</f>
        <v>9.8188262189163655E-2</v>
      </c>
      <c r="D47" s="13" t="s">
        <v>3</v>
      </c>
    </row>
    <row r="48" spans="1:4" x14ac:dyDescent="0.3">
      <c r="A48" s="12" t="s">
        <v>2</v>
      </c>
      <c r="B48" s="9">
        <f>STDEV(B2:B46)</f>
        <v>43.991407040856785</v>
      </c>
      <c r="C48" s="11"/>
    </row>
  </sheetData>
  <sortState ref="G3:G18">
    <sortCondition ref="G3"/>
  </sortState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2017-09-06T06:22:03Z</dcterms:created>
  <dcterms:modified xsi:type="dcterms:W3CDTF">2017-09-06T07:56:27Z</dcterms:modified>
</cp:coreProperties>
</file>