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習題\"/>
    </mc:Choice>
  </mc:AlternateContent>
  <bookViews>
    <workbookView xWindow="960" yWindow="780" windowWidth="10992" windowHeight="7680"/>
  </bookViews>
  <sheets>
    <sheet name="習題解答" sheetId="6" r:id="rId1"/>
    <sheet name="Data" sheetId="5" r:id="rId2"/>
  </sheets>
  <definedNames>
    <definedName name="OLE_LINK7" localSheetId="0">習題解答!$C$24</definedName>
  </definedNames>
  <calcPr calcId="162913"/>
</workbook>
</file>

<file path=xl/calcChain.xml><?xml version="1.0" encoding="utf-8"?>
<calcChain xmlns="http://schemas.openxmlformats.org/spreadsheetml/2006/main">
  <c r="I22" i="6" l="1"/>
  <c r="I21" i="6"/>
  <c r="I14" i="6"/>
</calcChain>
</file>

<file path=xl/sharedStrings.xml><?xml version="1.0" encoding="utf-8"?>
<sst xmlns="http://schemas.openxmlformats.org/spreadsheetml/2006/main" count="173" uniqueCount="65">
  <si>
    <t>日期</t>
  </si>
  <si>
    <t>基金名稱</t>
  </si>
  <si>
    <t>淨值</t>
  </si>
  <si>
    <t>幣別</t>
  </si>
  <si>
    <t xml:space="preserve">三個月 </t>
  </si>
  <si>
    <t xml:space="preserve">六個月 </t>
  </si>
  <si>
    <t xml:space="preserve">一年 </t>
  </si>
  <si>
    <t xml:space="preserve">三年 </t>
  </si>
  <si>
    <t xml:space="preserve">年化標準差 </t>
  </si>
  <si>
    <t xml:space="preserve">Sharpe </t>
  </si>
  <si>
    <t xml:space="preserve">b </t>
  </si>
  <si>
    <t>霸菱全球資源基金-美元</t>
  </si>
  <si>
    <t>美元</t>
  </si>
  <si>
    <t>瑞士信貸全球資源股票基金</t>
  </si>
  <si>
    <t>美林新能源基金A2-USD</t>
  </si>
  <si>
    <t>百利達全球資源基金</t>
  </si>
  <si>
    <t>美林新能源基金C2-USD</t>
  </si>
  <si>
    <t>寶源環球-環球能源基金A</t>
  </si>
  <si>
    <t>景順能源基金A股</t>
  </si>
  <si>
    <t>荷銀能源基金A(美元)</t>
  </si>
  <si>
    <t>美國運通系列-全球能源股票基金(美元)</t>
  </si>
  <si>
    <t>天達環球能源基金</t>
  </si>
  <si>
    <t>美林世界能源基金A2-USD</t>
  </si>
  <si>
    <t>美林世界能源基金C2-USD</t>
  </si>
  <si>
    <t>霸菱全球資源基金-歐元</t>
  </si>
  <si>
    <t>歐元</t>
  </si>
  <si>
    <t>比利時聯合資產管理公司-全球替代性能源基金</t>
  </si>
  <si>
    <t>美國運通系列-全球能源股票基金(歐元避險)</t>
  </si>
  <si>
    <t>美林新能源基金A2-EUR</t>
  </si>
  <si>
    <t>美林世界能源基金A2-EUR</t>
  </si>
  <si>
    <t>美國運通系列-全球能源股票基金(歐元)</t>
  </si>
  <si>
    <t>總計平均數</t>
  </si>
  <si>
    <t>基金公司</t>
    <phoneticPr fontId="2" type="noConversion"/>
  </si>
  <si>
    <t>類型</t>
    <phoneticPr fontId="2" type="noConversion"/>
  </si>
  <si>
    <t>霸菱</t>
    <phoneticPr fontId="2" type="noConversion"/>
  </si>
  <si>
    <t>資源</t>
    <phoneticPr fontId="2" type="noConversion"/>
  </si>
  <si>
    <t>瑞士</t>
    <phoneticPr fontId="2" type="noConversion"/>
  </si>
  <si>
    <t>美林</t>
    <phoneticPr fontId="2" type="noConversion"/>
  </si>
  <si>
    <t>新能源</t>
    <phoneticPr fontId="2" type="noConversion"/>
  </si>
  <si>
    <t>百利達</t>
    <phoneticPr fontId="2" type="noConversion"/>
  </si>
  <si>
    <t>比利時</t>
    <phoneticPr fontId="2" type="noConversion"/>
  </si>
  <si>
    <t>寶源</t>
    <phoneticPr fontId="2" type="noConversion"/>
  </si>
  <si>
    <t>能源</t>
    <phoneticPr fontId="2" type="noConversion"/>
  </si>
  <si>
    <t>景順</t>
    <phoneticPr fontId="2" type="noConversion"/>
  </si>
  <si>
    <t>荷銀</t>
    <phoneticPr fontId="2" type="noConversion"/>
  </si>
  <si>
    <t>運通</t>
    <phoneticPr fontId="2" type="noConversion"/>
  </si>
  <si>
    <t>天達</t>
    <phoneticPr fontId="2" type="noConversion"/>
  </si>
  <si>
    <t>基金公司</t>
    <phoneticPr fontId="2" type="noConversion"/>
  </si>
  <si>
    <t>類型</t>
    <phoneticPr fontId="2" type="noConversion"/>
  </si>
  <si>
    <t>天達</t>
    <phoneticPr fontId="2" type="noConversion"/>
  </si>
  <si>
    <t>能源</t>
    <phoneticPr fontId="2" type="noConversion"/>
  </si>
  <si>
    <t>美林</t>
    <phoneticPr fontId="2" type="noConversion"/>
  </si>
  <si>
    <t>運通</t>
    <phoneticPr fontId="2" type="noConversion"/>
  </si>
  <si>
    <t>荷銀</t>
    <phoneticPr fontId="2" type="noConversion"/>
  </si>
  <si>
    <t>景順</t>
    <phoneticPr fontId="2" type="noConversion"/>
  </si>
  <si>
    <t>寶源</t>
    <phoneticPr fontId="2" type="noConversion"/>
  </si>
  <si>
    <t>比利時</t>
    <phoneticPr fontId="2" type="noConversion"/>
  </si>
  <si>
    <t>新能源</t>
    <phoneticPr fontId="2" type="noConversion"/>
  </si>
  <si>
    <t>百利達</t>
    <phoneticPr fontId="2" type="noConversion"/>
  </si>
  <si>
    <t>資源</t>
    <phoneticPr fontId="2" type="noConversion"/>
  </si>
  <si>
    <t>瑞士</t>
    <phoneticPr fontId="2" type="noConversion"/>
  </si>
  <si>
    <t>霸菱</t>
    <phoneticPr fontId="2" type="noConversion"/>
  </si>
  <si>
    <t>能源</t>
    <phoneticPr fontId="2" type="noConversion"/>
  </si>
  <si>
    <t>美元 平均值</t>
  </si>
  <si>
    <t>歐元 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</si>
</sst>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9"/>
      <name val="新細明體"/>
      <family val="1"/>
      <charset val="136"/>
    </font>
    <font>
      <sz val="10"/>
      <color indexed="8"/>
      <name val="Verdana"/>
      <family val="2"/>
    </font>
    <font>
      <sz val="10"/>
      <color indexed="10"/>
      <name val="Verdana"/>
      <family val="2"/>
    </font>
    <font>
      <sz val="10"/>
      <color indexed="8"/>
      <name val="細明體"/>
      <family val="3"/>
      <charset val="136"/>
    </font>
    <font>
      <b/>
      <sz val="10"/>
      <color indexed="8"/>
      <name val="Verdana"/>
      <family val="2"/>
    </font>
    <font>
      <sz val="14"/>
      <color rgb="FF1D212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center"/>
    </xf>
    <xf numFmtId="0" fontId="1" fillId="2" borderId="1" xfId="1" applyFill="1" applyBorder="1" applyAlignment="1" applyProtection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1" fillId="3" borderId="1" xfId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14" fontId="3" fillId="3" borderId="0" xfId="0" applyNumberFormat="1" applyFont="1" applyFill="1" applyBorder="1" applyAlignment="1">
      <alignment horizontal="center" vertical="center" wrapText="1"/>
    </xf>
    <xf numFmtId="0" fontId="1" fillId="3" borderId="0" xfId="1" applyFill="1" applyBorder="1" applyAlignment="1" applyProtection="1">
      <alignment horizontal="lef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1" fillId="3" borderId="2" xfId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83820</xdr:colOff>
      <xdr:row>0</xdr:row>
      <xdr:rowOff>91440</xdr:rowOff>
    </xdr:to>
    <xdr:pic>
      <xdr:nvPicPr>
        <xdr:cNvPr id="4097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3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83820</xdr:colOff>
      <xdr:row>0</xdr:row>
      <xdr:rowOff>91440</xdr:rowOff>
    </xdr:to>
    <xdr:pic>
      <xdr:nvPicPr>
        <xdr:cNvPr id="4098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86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4099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30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4100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214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4101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4102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65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4103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4104" name="Picture 8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30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4105" name="Picture 9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214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4106" name="Picture 10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4107" name="Picture 11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65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4108" name="Picture 12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4109" name="Picture 13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9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4110" name="Picture 14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7</xdr:col>
      <xdr:colOff>411480</xdr:colOff>
      <xdr:row>26</xdr:row>
      <xdr:rowOff>76200</xdr:rowOff>
    </xdr:to>
    <xdr:sp macro="" textlink="">
      <xdr:nvSpPr>
        <xdr:cNvPr id="16" name="文字方塊 15"/>
        <xdr:cNvSpPr txBox="1"/>
      </xdr:nvSpPr>
      <xdr:spPr>
        <a:xfrm>
          <a:off x="2080260" y="4556760"/>
          <a:ext cx="4023360" cy="6705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注意：要先對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分組小計欄位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做排序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83820</xdr:colOff>
      <xdr:row>0</xdr:row>
      <xdr:rowOff>91440</xdr:rowOff>
    </xdr:to>
    <xdr:pic>
      <xdr:nvPicPr>
        <xdr:cNvPr id="3073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83820</xdr:colOff>
      <xdr:row>0</xdr:row>
      <xdr:rowOff>91440</xdr:rowOff>
    </xdr:to>
    <xdr:pic>
      <xdr:nvPicPr>
        <xdr:cNvPr id="3074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3075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3076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3077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3078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3079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3080" name="Picture 8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3081" name="Picture 9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3082" name="Picture 10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3083" name="Picture 11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3084" name="Picture 12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3085" name="Picture 13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3086" name="Picture 14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365760</xdr:colOff>
      <xdr:row>3</xdr:row>
      <xdr:rowOff>228600</xdr:rowOff>
    </xdr:to>
    <xdr:sp macro="" textlink="">
      <xdr:nvSpPr>
        <xdr:cNvPr id="16" name="文字方塊 15"/>
        <xdr:cNvSpPr txBox="1"/>
      </xdr:nvSpPr>
      <xdr:spPr>
        <a:xfrm>
          <a:off x="10226040" y="0"/>
          <a:ext cx="4023360" cy="15544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小計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選取要小計的範圍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到「資料」功能表，選「小計」工具。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設定「分組小計欄位」與「使用函數」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B25" sqref="B25"/>
    </sheetView>
  </sheetViews>
  <sheetFormatPr defaultRowHeight="16.2" outlineLevelRow="2"/>
  <cols>
    <col min="1" max="1" width="12.6640625" bestFit="1" customWidth="1"/>
    <col min="2" max="2" width="17.6640625" bestFit="1" customWidth="1"/>
    <col min="3" max="3" width="10.33203125" bestFit="1" customWidth="1"/>
    <col min="4" max="4" width="18.88671875" bestFit="1" customWidth="1"/>
    <col min="5" max="5" width="8.6640625" bestFit="1" customWidth="1"/>
    <col min="6" max="6" width="6.33203125" bestFit="1" customWidth="1"/>
    <col min="7" max="8" width="8.44140625" bestFit="1" customWidth="1"/>
    <col min="9" max="9" width="7.21875" bestFit="1" customWidth="1"/>
    <col min="10" max="10" width="15.77734375" bestFit="1" customWidth="1"/>
    <col min="11" max="11" width="12.77734375" bestFit="1" customWidth="1"/>
    <col min="12" max="12" width="7.77734375" bestFit="1" customWidth="1"/>
    <col min="13" max="13" width="6.21875" bestFit="1" customWidth="1"/>
  </cols>
  <sheetData>
    <row r="1" spans="1:13" ht="15.9" customHeight="1">
      <c r="A1" s="10" t="s">
        <v>0</v>
      </c>
      <c r="B1" s="10" t="s">
        <v>1</v>
      </c>
      <c r="C1" s="11" t="s">
        <v>47</v>
      </c>
      <c r="D1" s="11" t="s">
        <v>48</v>
      </c>
      <c r="E1" s="10" t="s">
        <v>2</v>
      </c>
      <c r="F1" s="10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5.9" customHeight="1" outlineLevel="2">
      <c r="A2" s="12">
        <v>39353</v>
      </c>
      <c r="B2" s="13" t="s">
        <v>21</v>
      </c>
      <c r="C2" s="14" t="s">
        <v>49</v>
      </c>
      <c r="D2" s="14" t="s">
        <v>50</v>
      </c>
      <c r="E2" s="15">
        <v>327.52999999999997</v>
      </c>
      <c r="F2" s="16" t="s">
        <v>12</v>
      </c>
      <c r="G2" s="4">
        <v>3.94</v>
      </c>
      <c r="H2" s="4">
        <v>21.11</v>
      </c>
      <c r="I2" s="4">
        <v>34.590000000000003</v>
      </c>
      <c r="J2" s="4">
        <v>134.65</v>
      </c>
      <c r="K2" s="4">
        <v>19.579999999999998</v>
      </c>
      <c r="L2" s="4">
        <v>0.43</v>
      </c>
      <c r="M2" s="4">
        <v>1.1000000000000001</v>
      </c>
    </row>
    <row r="3" spans="1:13" ht="15.9" customHeight="1" outlineLevel="2">
      <c r="A3" s="2">
        <v>39356</v>
      </c>
      <c r="B3" s="3" t="s">
        <v>22</v>
      </c>
      <c r="C3" s="17" t="s">
        <v>51</v>
      </c>
      <c r="D3" s="17" t="s">
        <v>50</v>
      </c>
      <c r="E3" s="4">
        <v>29.11</v>
      </c>
      <c r="F3" s="5" t="s">
        <v>12</v>
      </c>
      <c r="G3" s="4">
        <v>10.6</v>
      </c>
      <c r="H3" s="4">
        <v>27.62</v>
      </c>
      <c r="I3" s="4">
        <v>41.79</v>
      </c>
      <c r="J3" s="4">
        <v>127.42</v>
      </c>
      <c r="K3" s="4">
        <v>15.78</v>
      </c>
      <c r="L3" s="4">
        <v>0.63</v>
      </c>
      <c r="M3" s="4">
        <v>0.79</v>
      </c>
    </row>
    <row r="4" spans="1:13" ht="15.9" customHeight="1" outlineLevel="2">
      <c r="A4" s="2">
        <v>39356</v>
      </c>
      <c r="B4" s="3" t="s">
        <v>23</v>
      </c>
      <c r="C4" s="17" t="s">
        <v>51</v>
      </c>
      <c r="D4" s="17" t="s">
        <v>50</v>
      </c>
      <c r="E4" s="4">
        <v>26.86</v>
      </c>
      <c r="F4" s="5" t="s">
        <v>12</v>
      </c>
      <c r="G4" s="4">
        <v>10.26</v>
      </c>
      <c r="H4" s="4">
        <v>26.88</v>
      </c>
      <c r="I4" s="4">
        <v>40.04</v>
      </c>
      <c r="J4" s="4">
        <v>119.27</v>
      </c>
      <c r="K4" s="4">
        <v>15.83</v>
      </c>
      <c r="L4" s="4">
        <v>0.6</v>
      </c>
      <c r="M4" s="4">
        <v>0.8</v>
      </c>
    </row>
    <row r="5" spans="1:13" ht="15.9" customHeight="1" outlineLevel="2">
      <c r="A5" s="2">
        <v>39353</v>
      </c>
      <c r="B5" s="3" t="s">
        <v>20</v>
      </c>
      <c r="C5" s="17" t="s">
        <v>52</v>
      </c>
      <c r="D5" s="17" t="s">
        <v>50</v>
      </c>
      <c r="E5" s="4">
        <v>41.12</v>
      </c>
      <c r="F5" s="5" t="s">
        <v>12</v>
      </c>
      <c r="G5" s="4">
        <v>9.36</v>
      </c>
      <c r="H5" s="4">
        <v>25.56</v>
      </c>
      <c r="I5" s="4">
        <v>39.479999999999997</v>
      </c>
      <c r="J5" s="4">
        <v>121.55</v>
      </c>
      <c r="K5" s="4">
        <v>18.04</v>
      </c>
      <c r="L5" s="4">
        <v>0.53</v>
      </c>
      <c r="M5" s="4">
        <v>0.99</v>
      </c>
    </row>
    <row r="6" spans="1:13" ht="15.9" customHeight="1" outlineLevel="2">
      <c r="A6" s="2">
        <v>39353</v>
      </c>
      <c r="B6" s="3" t="s">
        <v>19</v>
      </c>
      <c r="C6" s="17" t="s">
        <v>53</v>
      </c>
      <c r="D6" s="17" t="s">
        <v>50</v>
      </c>
      <c r="E6" s="4">
        <v>177.8</v>
      </c>
      <c r="F6" s="5" t="s">
        <v>12</v>
      </c>
      <c r="G6" s="4">
        <v>12.45</v>
      </c>
      <c r="H6" s="4">
        <v>26.76</v>
      </c>
      <c r="I6" s="4">
        <v>48.3</v>
      </c>
      <c r="J6" s="4">
        <v>129.63</v>
      </c>
      <c r="K6" s="4">
        <v>24.17</v>
      </c>
      <c r="L6" s="4">
        <v>0.48</v>
      </c>
      <c r="M6" s="4">
        <v>1.1599999999999999</v>
      </c>
    </row>
    <row r="7" spans="1:13" ht="15.9" customHeight="1" outlineLevel="2">
      <c r="A7" s="2">
        <v>39356</v>
      </c>
      <c r="B7" s="3" t="s">
        <v>18</v>
      </c>
      <c r="C7" s="17" t="s">
        <v>54</v>
      </c>
      <c r="D7" s="17" t="s">
        <v>50</v>
      </c>
      <c r="E7" s="4">
        <v>30.54</v>
      </c>
      <c r="F7" s="5" t="s">
        <v>12</v>
      </c>
      <c r="G7" s="4">
        <v>8.3699999999999992</v>
      </c>
      <c r="H7" s="4">
        <v>22.5</v>
      </c>
      <c r="I7" s="4">
        <v>41.06</v>
      </c>
      <c r="J7" s="4">
        <v>126.89</v>
      </c>
      <c r="K7" s="4">
        <v>17.149999999999999</v>
      </c>
      <c r="L7" s="4">
        <v>0.56999999999999995</v>
      </c>
      <c r="M7" s="4">
        <v>1.05</v>
      </c>
    </row>
    <row r="8" spans="1:13" ht="15.9" customHeight="1" outlineLevel="2">
      <c r="A8" s="2">
        <v>39356</v>
      </c>
      <c r="B8" s="3" t="s">
        <v>17</v>
      </c>
      <c r="C8" s="17" t="s">
        <v>55</v>
      </c>
      <c r="D8" s="17" t="s">
        <v>50</v>
      </c>
      <c r="E8" s="4">
        <v>38.74</v>
      </c>
      <c r="F8" s="5" t="s">
        <v>12</v>
      </c>
      <c r="G8" s="4">
        <v>8.82</v>
      </c>
      <c r="H8" s="4">
        <v>23.69</v>
      </c>
      <c r="I8" s="4">
        <v>47.86</v>
      </c>
      <c r="J8" s="4">
        <v>115.82</v>
      </c>
      <c r="K8" s="4">
        <v>15.13</v>
      </c>
      <c r="L8" s="4">
        <v>0.73</v>
      </c>
      <c r="M8" s="4">
        <v>0.96</v>
      </c>
    </row>
    <row r="9" spans="1:13" ht="15.9" customHeight="1" outlineLevel="2">
      <c r="A9" s="2">
        <v>39356</v>
      </c>
      <c r="B9" s="3" t="s">
        <v>14</v>
      </c>
      <c r="C9" s="17" t="s">
        <v>51</v>
      </c>
      <c r="D9" s="17" t="s">
        <v>57</v>
      </c>
      <c r="E9" s="4">
        <v>13.85</v>
      </c>
      <c r="F9" s="5" t="s">
        <v>12</v>
      </c>
      <c r="G9" s="4">
        <v>5.24</v>
      </c>
      <c r="H9" s="4">
        <v>18.48</v>
      </c>
      <c r="I9" s="4">
        <v>49.73</v>
      </c>
      <c r="J9" s="4">
        <v>162.81</v>
      </c>
      <c r="K9" s="4">
        <v>12.83</v>
      </c>
      <c r="L9" s="4">
        <v>0.89</v>
      </c>
      <c r="M9" s="4">
        <v>0.24</v>
      </c>
    </row>
    <row r="10" spans="1:13" ht="15.9" customHeight="1" outlineLevel="2">
      <c r="A10" s="2">
        <v>39356</v>
      </c>
      <c r="B10" s="3" t="s">
        <v>16</v>
      </c>
      <c r="C10" s="17" t="s">
        <v>51</v>
      </c>
      <c r="D10" s="17" t="s">
        <v>57</v>
      </c>
      <c r="E10" s="4">
        <v>12.88</v>
      </c>
      <c r="F10" s="5" t="s">
        <v>12</v>
      </c>
      <c r="G10" s="4">
        <v>4.8899999999999997</v>
      </c>
      <c r="H10" s="4">
        <v>17.63</v>
      </c>
      <c r="I10" s="4">
        <v>47.88</v>
      </c>
      <c r="J10" s="4">
        <v>152.55000000000001</v>
      </c>
      <c r="K10" s="4">
        <v>12.77</v>
      </c>
      <c r="L10" s="4">
        <v>0.86</v>
      </c>
      <c r="M10" s="4">
        <v>0.24</v>
      </c>
    </row>
    <row r="11" spans="1:13" ht="15.9" customHeight="1" outlineLevel="2">
      <c r="A11" s="2">
        <v>39353</v>
      </c>
      <c r="B11" s="3" t="s">
        <v>15</v>
      </c>
      <c r="C11" s="17" t="s">
        <v>58</v>
      </c>
      <c r="D11" s="17" t="s">
        <v>59</v>
      </c>
      <c r="E11" s="4">
        <v>279.25</v>
      </c>
      <c r="F11" s="5" t="s">
        <v>12</v>
      </c>
      <c r="G11" s="4">
        <v>9.3000000000000007</v>
      </c>
      <c r="H11" s="4">
        <v>25.44</v>
      </c>
      <c r="I11" s="4">
        <v>41.37</v>
      </c>
      <c r="J11" s="4">
        <v>110.03</v>
      </c>
      <c r="K11" s="4">
        <v>17.190000000000001</v>
      </c>
      <c r="L11" s="4">
        <v>0.56999999999999995</v>
      </c>
      <c r="M11" s="4">
        <v>0.89</v>
      </c>
    </row>
    <row r="12" spans="1:13" ht="15.9" customHeight="1" outlineLevel="2">
      <c r="A12" s="2">
        <v>39353</v>
      </c>
      <c r="B12" s="3" t="s">
        <v>13</v>
      </c>
      <c r="C12" s="17" t="s">
        <v>60</v>
      </c>
      <c r="D12" s="17" t="s">
        <v>59</v>
      </c>
      <c r="E12" s="4">
        <v>382.56</v>
      </c>
      <c r="F12" s="5" t="s">
        <v>12</v>
      </c>
      <c r="G12" s="4">
        <v>12.76</v>
      </c>
      <c r="H12" s="4">
        <v>28.05</v>
      </c>
      <c r="I12" s="4">
        <v>54.8</v>
      </c>
      <c r="J12" s="4">
        <v>140.65</v>
      </c>
      <c r="K12" s="4">
        <v>20.21</v>
      </c>
      <c r="L12" s="4">
        <v>0.63</v>
      </c>
      <c r="M12" s="4">
        <v>0.82</v>
      </c>
    </row>
    <row r="13" spans="1:13" ht="15.9" customHeight="1" outlineLevel="2">
      <c r="A13" s="2">
        <v>39356</v>
      </c>
      <c r="B13" s="3" t="s">
        <v>11</v>
      </c>
      <c r="C13" s="17" t="s">
        <v>61</v>
      </c>
      <c r="D13" s="17" t="s">
        <v>59</v>
      </c>
      <c r="E13" s="4">
        <v>41.45</v>
      </c>
      <c r="F13" s="5" t="s">
        <v>12</v>
      </c>
      <c r="G13" s="4">
        <v>18.559999999999999</v>
      </c>
      <c r="H13" s="4">
        <v>34.33</v>
      </c>
      <c r="I13" s="4">
        <v>71.25</v>
      </c>
      <c r="J13" s="4">
        <v>174.37</v>
      </c>
      <c r="K13" s="4">
        <v>22.15</v>
      </c>
      <c r="L13" s="4">
        <v>0.71</v>
      </c>
      <c r="M13" s="4">
        <v>1.1100000000000001</v>
      </c>
    </row>
    <row r="14" spans="1:13" ht="15.9" customHeight="1" outlineLevel="1">
      <c r="A14" s="2"/>
      <c r="B14" s="3"/>
      <c r="C14" s="17"/>
      <c r="D14" s="17"/>
      <c r="E14" s="4"/>
      <c r="F14" s="19" t="s">
        <v>63</v>
      </c>
      <c r="G14" s="4"/>
      <c r="H14" s="4"/>
      <c r="I14" s="4">
        <f>SUBTOTAL(1,I2:I13)</f>
        <v>46.51250000000001</v>
      </c>
      <c r="J14" s="4"/>
      <c r="K14" s="4"/>
      <c r="L14" s="4"/>
      <c r="M14" s="4"/>
    </row>
    <row r="15" spans="1:13" ht="15.9" customHeight="1" outlineLevel="2">
      <c r="A15" s="2">
        <v>39356</v>
      </c>
      <c r="B15" s="3" t="s">
        <v>29</v>
      </c>
      <c r="C15" s="17" t="s">
        <v>51</v>
      </c>
      <c r="D15" s="17" t="s">
        <v>50</v>
      </c>
      <c r="E15" s="4">
        <v>20.47</v>
      </c>
      <c r="F15" s="5" t="s">
        <v>25</v>
      </c>
      <c r="G15" s="4">
        <v>5.14</v>
      </c>
      <c r="H15" s="4">
        <v>19.36</v>
      </c>
      <c r="I15" s="4">
        <v>26.36</v>
      </c>
      <c r="J15" s="4">
        <v>98.16</v>
      </c>
      <c r="K15" s="4">
        <v>13.52</v>
      </c>
      <c r="L15" s="4">
        <v>0.47</v>
      </c>
      <c r="M15" s="4">
        <v>0.55000000000000004</v>
      </c>
    </row>
    <row r="16" spans="1:13" ht="15.9" customHeight="1" outlineLevel="2">
      <c r="A16" s="2">
        <v>39353</v>
      </c>
      <c r="B16" s="3" t="s">
        <v>30</v>
      </c>
      <c r="C16" s="17" t="s">
        <v>52</v>
      </c>
      <c r="D16" s="17" t="s">
        <v>62</v>
      </c>
      <c r="E16" s="4">
        <v>28.91</v>
      </c>
      <c r="F16" s="5" t="s">
        <v>25</v>
      </c>
      <c r="G16" s="4">
        <v>3.51</v>
      </c>
      <c r="H16" s="4">
        <v>18</v>
      </c>
      <c r="I16" s="4">
        <v>24.45</v>
      </c>
      <c r="J16" s="4">
        <v>91.84</v>
      </c>
      <c r="K16" s="4">
        <v>15.18</v>
      </c>
      <c r="L16" s="4">
        <v>0.4</v>
      </c>
      <c r="M16" s="4">
        <v>0.88</v>
      </c>
    </row>
    <row r="17" spans="1:13" ht="15.9" customHeight="1" outlineLevel="2">
      <c r="A17" s="2">
        <v>39353</v>
      </c>
      <c r="B17" s="3" t="s">
        <v>27</v>
      </c>
      <c r="C17" s="17" t="s">
        <v>52</v>
      </c>
      <c r="D17" s="17" t="s">
        <v>50</v>
      </c>
      <c r="E17" s="4">
        <v>34.29</v>
      </c>
      <c r="F17" s="5" t="s">
        <v>25</v>
      </c>
      <c r="G17" s="4">
        <v>8.48</v>
      </c>
      <c r="H17" s="4">
        <v>23.88</v>
      </c>
      <c r="I17" s="4">
        <v>35.69</v>
      </c>
      <c r="J17" s="4">
        <v>109.21</v>
      </c>
      <c r="K17" s="4">
        <v>17.97</v>
      </c>
      <c r="L17" s="4">
        <v>0.48</v>
      </c>
      <c r="M17" s="4">
        <v>0.99</v>
      </c>
    </row>
    <row r="18" spans="1:13" ht="15.9" customHeight="1" outlineLevel="2">
      <c r="A18" s="2">
        <v>39353</v>
      </c>
      <c r="B18" s="3" t="s">
        <v>26</v>
      </c>
      <c r="C18" s="17" t="s">
        <v>56</v>
      </c>
      <c r="D18" s="17" t="s">
        <v>57</v>
      </c>
      <c r="E18" s="4">
        <v>490.52</v>
      </c>
      <c r="F18" s="5" t="s">
        <v>25</v>
      </c>
      <c r="G18" s="4">
        <v>1.37</v>
      </c>
      <c r="H18" s="4">
        <v>12.1</v>
      </c>
      <c r="I18" s="4">
        <v>38.049999999999997</v>
      </c>
      <c r="J18" s="4">
        <v>128.97</v>
      </c>
      <c r="K18" s="4">
        <v>11.8</v>
      </c>
      <c r="L18" s="4">
        <v>0.76</v>
      </c>
      <c r="M18" s="4">
        <v>0.32</v>
      </c>
    </row>
    <row r="19" spans="1:13" ht="15.9" customHeight="1" outlineLevel="2">
      <c r="A19" s="2">
        <v>39356</v>
      </c>
      <c r="B19" s="3" t="s">
        <v>28</v>
      </c>
      <c r="C19" s="17" t="s">
        <v>51</v>
      </c>
      <c r="D19" s="17" t="s">
        <v>57</v>
      </c>
      <c r="E19" s="4">
        <v>9.74</v>
      </c>
      <c r="F19" s="5" t="s">
        <v>25</v>
      </c>
      <c r="G19" s="4">
        <v>0.1</v>
      </c>
      <c r="H19" s="4">
        <v>10.81</v>
      </c>
      <c r="I19" s="4">
        <v>33.42</v>
      </c>
      <c r="J19" s="4">
        <v>129.18</v>
      </c>
      <c r="K19" s="4">
        <v>12.52</v>
      </c>
      <c r="L19" s="4">
        <v>0.64</v>
      </c>
      <c r="M19" s="6">
        <v>0</v>
      </c>
    </row>
    <row r="20" spans="1:13" ht="15.9" customHeight="1" outlineLevel="2">
      <c r="A20" s="2">
        <v>39356</v>
      </c>
      <c r="B20" s="3" t="s">
        <v>24</v>
      </c>
      <c r="C20" s="17" t="s">
        <v>61</v>
      </c>
      <c r="D20" s="17" t="s">
        <v>59</v>
      </c>
      <c r="E20" s="4">
        <v>29.12</v>
      </c>
      <c r="F20" s="5" t="s">
        <v>25</v>
      </c>
      <c r="G20" s="4">
        <v>12.43</v>
      </c>
      <c r="H20" s="4">
        <v>25.54</v>
      </c>
      <c r="I20" s="4">
        <v>52.47</v>
      </c>
      <c r="J20" s="4">
        <v>138.85</v>
      </c>
      <c r="K20" s="4">
        <v>18.97</v>
      </c>
      <c r="L20" s="4">
        <v>0.64</v>
      </c>
      <c r="M20" s="4">
        <v>0.9</v>
      </c>
    </row>
    <row r="21" spans="1:13" ht="15.9" customHeight="1" outlineLevel="1">
      <c r="A21" s="7"/>
      <c r="B21" s="8"/>
      <c r="C21" s="18"/>
      <c r="D21" s="18"/>
      <c r="E21" s="9"/>
      <c r="F21" s="20" t="s">
        <v>64</v>
      </c>
      <c r="G21" s="9"/>
      <c r="H21" s="9"/>
      <c r="I21" s="9">
        <f>SUBTOTAL(1,I15:I20)</f>
        <v>35.073333333333331</v>
      </c>
      <c r="J21" s="9"/>
      <c r="K21" s="9"/>
      <c r="L21" s="9"/>
      <c r="M21" s="9"/>
    </row>
    <row r="22" spans="1:13" ht="15.9" customHeight="1">
      <c r="A22" s="7"/>
      <c r="B22" s="8"/>
      <c r="C22" s="18"/>
      <c r="D22" s="18"/>
      <c r="E22" s="9"/>
      <c r="F22" s="20" t="s">
        <v>31</v>
      </c>
      <c r="G22" s="9"/>
      <c r="H22" s="9"/>
      <c r="I22" s="9">
        <f>SUBTOTAL(1,I2:I20)</f>
        <v>42.699444444444445</v>
      </c>
      <c r="J22" s="9"/>
      <c r="K22" s="9"/>
      <c r="L22" s="9"/>
      <c r="M22" s="9"/>
    </row>
    <row r="23" spans="1:13" ht="15.9" customHeight="1"/>
    <row r="24" spans="1:13" ht="15.9" customHeight="1">
      <c r="C24" s="21"/>
      <c r="D24" s="21"/>
    </row>
    <row r="25" spans="1:13" ht="15.9" customHeight="1"/>
    <row r="26" spans="1:13" ht="15.9" customHeight="1"/>
    <row r="27" spans="1:13" ht="15.9" customHeight="1"/>
  </sheetData>
  <sortState ref="A2:M28">
    <sortCondition ref="F1"/>
  </sortState>
  <phoneticPr fontId="2" type="noConversion"/>
  <hyperlinks>
    <hyperlink ref="B12" r:id="rId1" display="http://www.funddj.com/y/ya/yp010001_CSA10.djhtm"/>
    <hyperlink ref="B20" r:id="rId2" display="http://www.funddj.com/y/ya/yp010001_PLZ42.djhtm"/>
    <hyperlink ref="B9" r:id="rId3" display="http://www.funddj.com/y/ya/yp010001_SHZA4.djhtm"/>
    <hyperlink ref="B11" r:id="rId4" display="http://www.funddj.com/y/ya/yp010001_PAZ66.djhtm"/>
    <hyperlink ref="B10" r:id="rId5" display="http://www.funddj.com/y/ya/yp010001_SHZE5.djhtm"/>
    <hyperlink ref="B18" r:id="rId6" display="http://www.funddj.com/y/ya/yp010001_KBC09.djhtm"/>
    <hyperlink ref="B8" r:id="rId7" display="http://www.funddj.com/y/ya/yp010001_PYZ22.djhtm"/>
    <hyperlink ref="B7" r:id="rId8" display="http://www.funddj.com/y/ya/yp010001_CTZ49.djhtm"/>
    <hyperlink ref="B6" r:id="rId9" display="http://www.funddj.com/y/ya/yp010001_ABZ16.djhtm"/>
    <hyperlink ref="B5" r:id="rId10" display="http://www.funddj.com/y/ya/yp010001_AEB86.djhtm"/>
    <hyperlink ref="B17" r:id="rId11" display="http://www.funddj.com/y/ya/yp010001_AEB88.djhtm"/>
    <hyperlink ref="B2" r:id="rId12" display="http://www.funddj.com/y/ya/yp010001_GSF05.djhtm"/>
    <hyperlink ref="B19" r:id="rId13" display="http://www.funddj.com/y/ya/yp010001_SHZA5.djhtm"/>
    <hyperlink ref="B3" r:id="rId14" display="http://www.funddj.com/y/ya/yp010001_SHZA6.djhtm"/>
    <hyperlink ref="B4" r:id="rId15" display="http://www.funddj.com/y/ya/yp010001_SHZE6.djhtm"/>
    <hyperlink ref="B15" r:id="rId16" display="http://www.funddj.com/y/ya/yp010001_SHZA7.djhtm"/>
    <hyperlink ref="B16" r:id="rId17" display="http://www.funddj.com/y/ya/yp010001_AEB87.djhtm"/>
    <hyperlink ref="B13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opLeftCell="D1" workbookViewId="0">
      <selection activeCell="P10" sqref="P10"/>
    </sheetView>
  </sheetViews>
  <sheetFormatPr defaultRowHeight="16.2"/>
  <cols>
    <col min="1" max="1" width="13.109375" customWidth="1"/>
    <col min="2" max="2" width="29.33203125" customWidth="1"/>
  </cols>
  <sheetData>
    <row r="1" spans="1:13" ht="34.950000000000003" customHeight="1">
      <c r="A1" s="10" t="s">
        <v>0</v>
      </c>
      <c r="B1" s="10" t="s">
        <v>1</v>
      </c>
      <c r="C1" s="11" t="s">
        <v>32</v>
      </c>
      <c r="D1" s="11" t="s">
        <v>33</v>
      </c>
      <c r="E1" s="10" t="s">
        <v>2</v>
      </c>
      <c r="F1" s="10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34.950000000000003" customHeight="1">
      <c r="A2" s="12">
        <v>39353</v>
      </c>
      <c r="B2" s="13" t="s">
        <v>21</v>
      </c>
      <c r="C2" s="14" t="s">
        <v>46</v>
      </c>
      <c r="D2" s="14" t="s">
        <v>42</v>
      </c>
      <c r="E2" s="15">
        <v>327.52999999999997</v>
      </c>
      <c r="F2" s="16" t="s">
        <v>12</v>
      </c>
      <c r="G2" s="4">
        <v>3.94</v>
      </c>
      <c r="H2" s="4">
        <v>21.11</v>
      </c>
      <c r="I2" s="4">
        <v>34.590000000000003</v>
      </c>
      <c r="J2" s="4">
        <v>134.65</v>
      </c>
      <c r="K2" s="4">
        <v>19.579999999999998</v>
      </c>
      <c r="L2" s="4">
        <v>0.43</v>
      </c>
      <c r="M2" s="4">
        <v>1.1000000000000001</v>
      </c>
    </row>
    <row r="3" spans="1:13" ht="34.950000000000003" customHeight="1">
      <c r="A3" s="2">
        <v>39356</v>
      </c>
      <c r="B3" s="3" t="s">
        <v>29</v>
      </c>
      <c r="C3" s="17" t="s">
        <v>37</v>
      </c>
      <c r="D3" s="17" t="s">
        <v>42</v>
      </c>
      <c r="E3" s="4">
        <v>20.47</v>
      </c>
      <c r="F3" s="5" t="s">
        <v>25</v>
      </c>
      <c r="G3" s="4">
        <v>5.14</v>
      </c>
      <c r="H3" s="4">
        <v>19.36</v>
      </c>
      <c r="I3" s="4">
        <v>26.36</v>
      </c>
      <c r="J3" s="4">
        <v>98.16</v>
      </c>
      <c r="K3" s="4">
        <v>13.52</v>
      </c>
      <c r="L3" s="4">
        <v>0.47</v>
      </c>
      <c r="M3" s="4">
        <v>0.55000000000000004</v>
      </c>
    </row>
    <row r="4" spans="1:13" ht="34.950000000000003" customHeight="1">
      <c r="A4" s="2">
        <v>39356</v>
      </c>
      <c r="B4" s="3" t="s">
        <v>22</v>
      </c>
      <c r="C4" s="17" t="s">
        <v>37</v>
      </c>
      <c r="D4" s="17" t="s">
        <v>42</v>
      </c>
      <c r="E4" s="4">
        <v>29.11</v>
      </c>
      <c r="F4" s="5" t="s">
        <v>12</v>
      </c>
      <c r="G4" s="4">
        <v>10.6</v>
      </c>
      <c r="H4" s="4">
        <v>27.62</v>
      </c>
      <c r="I4" s="4">
        <v>41.79</v>
      </c>
      <c r="J4" s="4">
        <v>127.42</v>
      </c>
      <c r="K4" s="4">
        <v>15.78</v>
      </c>
      <c r="L4" s="4">
        <v>0.63</v>
      </c>
      <c r="M4" s="4">
        <v>0.79</v>
      </c>
    </row>
    <row r="5" spans="1:13" ht="34.950000000000003" customHeight="1">
      <c r="A5" s="2">
        <v>39356</v>
      </c>
      <c r="B5" s="3" t="s">
        <v>23</v>
      </c>
      <c r="C5" s="17" t="s">
        <v>37</v>
      </c>
      <c r="D5" s="17" t="s">
        <v>42</v>
      </c>
      <c r="E5" s="4">
        <v>26.86</v>
      </c>
      <c r="F5" s="5" t="s">
        <v>12</v>
      </c>
      <c r="G5" s="4">
        <v>10.26</v>
      </c>
      <c r="H5" s="4">
        <v>26.88</v>
      </c>
      <c r="I5" s="4">
        <v>40.04</v>
      </c>
      <c r="J5" s="4">
        <v>119.27</v>
      </c>
      <c r="K5" s="4">
        <v>15.83</v>
      </c>
      <c r="L5" s="4">
        <v>0.6</v>
      </c>
      <c r="M5" s="4">
        <v>0.8</v>
      </c>
    </row>
    <row r="6" spans="1:13" ht="34.950000000000003" customHeight="1">
      <c r="A6" s="2">
        <v>39353</v>
      </c>
      <c r="B6" s="3" t="s">
        <v>20</v>
      </c>
      <c r="C6" s="17" t="s">
        <v>45</v>
      </c>
      <c r="D6" s="17" t="s">
        <v>42</v>
      </c>
      <c r="E6" s="4">
        <v>41.12</v>
      </c>
      <c r="F6" s="5" t="s">
        <v>12</v>
      </c>
      <c r="G6" s="4">
        <v>9.36</v>
      </c>
      <c r="H6" s="4">
        <v>25.56</v>
      </c>
      <c r="I6" s="4">
        <v>39.479999999999997</v>
      </c>
      <c r="J6" s="4">
        <v>121.55</v>
      </c>
      <c r="K6" s="4">
        <v>18.04</v>
      </c>
      <c r="L6" s="4">
        <v>0.53</v>
      </c>
      <c r="M6" s="4">
        <v>0.99</v>
      </c>
    </row>
    <row r="7" spans="1:13" ht="34.950000000000003" customHeight="1">
      <c r="A7" s="2">
        <v>39353</v>
      </c>
      <c r="B7" s="3" t="s">
        <v>30</v>
      </c>
      <c r="C7" s="17" t="s">
        <v>45</v>
      </c>
      <c r="D7" s="17" t="s">
        <v>42</v>
      </c>
      <c r="E7" s="4">
        <v>28.91</v>
      </c>
      <c r="F7" s="5" t="s">
        <v>25</v>
      </c>
      <c r="G7" s="4">
        <v>3.51</v>
      </c>
      <c r="H7" s="4">
        <v>18</v>
      </c>
      <c r="I7" s="4">
        <v>24.45</v>
      </c>
      <c r="J7" s="4">
        <v>91.84</v>
      </c>
      <c r="K7" s="4">
        <v>15.18</v>
      </c>
      <c r="L7" s="4">
        <v>0.4</v>
      </c>
      <c r="M7" s="4">
        <v>0.88</v>
      </c>
    </row>
    <row r="8" spans="1:13" ht="34.950000000000003" customHeight="1">
      <c r="A8" s="2">
        <v>39353</v>
      </c>
      <c r="B8" s="3" t="s">
        <v>27</v>
      </c>
      <c r="C8" s="17" t="s">
        <v>45</v>
      </c>
      <c r="D8" s="17" t="s">
        <v>42</v>
      </c>
      <c r="E8" s="4">
        <v>34.29</v>
      </c>
      <c r="F8" s="5" t="s">
        <v>25</v>
      </c>
      <c r="G8" s="4">
        <v>8.48</v>
      </c>
      <c r="H8" s="4">
        <v>23.88</v>
      </c>
      <c r="I8" s="4">
        <v>35.69</v>
      </c>
      <c r="J8" s="4">
        <v>109.21</v>
      </c>
      <c r="K8" s="4">
        <v>17.97</v>
      </c>
      <c r="L8" s="4">
        <v>0.48</v>
      </c>
      <c r="M8" s="4">
        <v>0.99</v>
      </c>
    </row>
    <row r="9" spans="1:13" ht="34.950000000000003" customHeight="1">
      <c r="A9" s="2">
        <v>39353</v>
      </c>
      <c r="B9" s="3" t="s">
        <v>19</v>
      </c>
      <c r="C9" s="17" t="s">
        <v>44</v>
      </c>
      <c r="D9" s="17" t="s">
        <v>42</v>
      </c>
      <c r="E9" s="4">
        <v>177.8</v>
      </c>
      <c r="F9" s="5" t="s">
        <v>12</v>
      </c>
      <c r="G9" s="4">
        <v>12.45</v>
      </c>
      <c r="H9" s="4">
        <v>26.76</v>
      </c>
      <c r="I9" s="4">
        <v>48.3</v>
      </c>
      <c r="J9" s="4">
        <v>129.63</v>
      </c>
      <c r="K9" s="4">
        <v>24.17</v>
      </c>
      <c r="L9" s="4">
        <v>0.48</v>
      </c>
      <c r="M9" s="4">
        <v>1.1599999999999999</v>
      </c>
    </row>
    <row r="10" spans="1:13" ht="34.950000000000003" customHeight="1">
      <c r="A10" s="2">
        <v>39356</v>
      </c>
      <c r="B10" s="3" t="s">
        <v>18</v>
      </c>
      <c r="C10" s="17" t="s">
        <v>43</v>
      </c>
      <c r="D10" s="17" t="s">
        <v>42</v>
      </c>
      <c r="E10" s="4">
        <v>30.54</v>
      </c>
      <c r="F10" s="5" t="s">
        <v>12</v>
      </c>
      <c r="G10" s="4">
        <v>8.3699999999999992</v>
      </c>
      <c r="H10" s="4">
        <v>22.5</v>
      </c>
      <c r="I10" s="4">
        <v>41.06</v>
      </c>
      <c r="J10" s="4">
        <v>126.89</v>
      </c>
      <c r="K10" s="4">
        <v>17.149999999999999</v>
      </c>
      <c r="L10" s="4">
        <v>0.56999999999999995</v>
      </c>
      <c r="M10" s="4">
        <v>1.05</v>
      </c>
    </row>
    <row r="11" spans="1:13" ht="34.950000000000003" customHeight="1">
      <c r="A11" s="2">
        <v>39356</v>
      </c>
      <c r="B11" s="3" t="s">
        <v>17</v>
      </c>
      <c r="C11" s="17" t="s">
        <v>41</v>
      </c>
      <c r="D11" s="17" t="s">
        <v>42</v>
      </c>
      <c r="E11" s="4">
        <v>38.74</v>
      </c>
      <c r="F11" s="5" t="s">
        <v>12</v>
      </c>
      <c r="G11" s="4">
        <v>8.82</v>
      </c>
      <c r="H11" s="4">
        <v>23.69</v>
      </c>
      <c r="I11" s="4">
        <v>47.86</v>
      </c>
      <c r="J11" s="4">
        <v>115.82</v>
      </c>
      <c r="K11" s="4">
        <v>15.13</v>
      </c>
      <c r="L11" s="4">
        <v>0.73</v>
      </c>
      <c r="M11" s="4">
        <v>0.96</v>
      </c>
    </row>
    <row r="12" spans="1:13" ht="34.950000000000003" customHeight="1">
      <c r="A12" s="2">
        <v>39353</v>
      </c>
      <c r="B12" s="3" t="s">
        <v>26</v>
      </c>
      <c r="C12" s="17" t="s">
        <v>40</v>
      </c>
      <c r="D12" s="17" t="s">
        <v>38</v>
      </c>
      <c r="E12" s="4">
        <v>490.52</v>
      </c>
      <c r="F12" s="5" t="s">
        <v>25</v>
      </c>
      <c r="G12" s="4">
        <v>1.37</v>
      </c>
      <c r="H12" s="4">
        <v>12.1</v>
      </c>
      <c r="I12" s="4">
        <v>38.049999999999997</v>
      </c>
      <c r="J12" s="4">
        <v>128.97</v>
      </c>
      <c r="K12" s="4">
        <v>11.8</v>
      </c>
      <c r="L12" s="4">
        <v>0.76</v>
      </c>
      <c r="M12" s="4">
        <v>0.32</v>
      </c>
    </row>
    <row r="13" spans="1:13" ht="34.950000000000003" customHeight="1">
      <c r="A13" s="2">
        <v>39356</v>
      </c>
      <c r="B13" s="3" t="s">
        <v>28</v>
      </c>
      <c r="C13" s="17" t="s">
        <v>37</v>
      </c>
      <c r="D13" s="17" t="s">
        <v>38</v>
      </c>
      <c r="E13" s="4">
        <v>9.74</v>
      </c>
      <c r="F13" s="5" t="s">
        <v>25</v>
      </c>
      <c r="G13" s="4">
        <v>0.1</v>
      </c>
      <c r="H13" s="4">
        <v>10.81</v>
      </c>
      <c r="I13" s="4">
        <v>33.42</v>
      </c>
      <c r="J13" s="4">
        <v>129.18</v>
      </c>
      <c r="K13" s="4">
        <v>12.52</v>
      </c>
      <c r="L13" s="4">
        <v>0.64</v>
      </c>
      <c r="M13" s="6">
        <v>0</v>
      </c>
    </row>
    <row r="14" spans="1:13" ht="34.950000000000003" customHeight="1">
      <c r="A14" s="2">
        <v>39356</v>
      </c>
      <c r="B14" s="3" t="s">
        <v>14</v>
      </c>
      <c r="C14" s="17" t="s">
        <v>37</v>
      </c>
      <c r="D14" s="17" t="s">
        <v>38</v>
      </c>
      <c r="E14" s="4">
        <v>13.85</v>
      </c>
      <c r="F14" s="5" t="s">
        <v>12</v>
      </c>
      <c r="G14" s="4">
        <v>5.24</v>
      </c>
      <c r="H14" s="4">
        <v>18.48</v>
      </c>
      <c r="I14" s="4">
        <v>49.73</v>
      </c>
      <c r="J14" s="4">
        <v>162.81</v>
      </c>
      <c r="K14" s="4">
        <v>12.83</v>
      </c>
      <c r="L14" s="4">
        <v>0.89</v>
      </c>
      <c r="M14" s="4">
        <v>0.24</v>
      </c>
    </row>
    <row r="15" spans="1:13" ht="34.950000000000003" customHeight="1">
      <c r="A15" s="2">
        <v>39356</v>
      </c>
      <c r="B15" s="3" t="s">
        <v>16</v>
      </c>
      <c r="C15" s="17" t="s">
        <v>37</v>
      </c>
      <c r="D15" s="17" t="s">
        <v>38</v>
      </c>
      <c r="E15" s="4">
        <v>12.88</v>
      </c>
      <c r="F15" s="5" t="s">
        <v>12</v>
      </c>
      <c r="G15" s="4">
        <v>4.8899999999999997</v>
      </c>
      <c r="H15" s="4">
        <v>17.63</v>
      </c>
      <c r="I15" s="4">
        <v>47.88</v>
      </c>
      <c r="J15" s="4">
        <v>152.55000000000001</v>
      </c>
      <c r="K15" s="4">
        <v>12.77</v>
      </c>
      <c r="L15" s="4">
        <v>0.86</v>
      </c>
      <c r="M15" s="4">
        <v>0.24</v>
      </c>
    </row>
    <row r="16" spans="1:13" ht="34.950000000000003" customHeight="1">
      <c r="A16" s="2">
        <v>39353</v>
      </c>
      <c r="B16" s="3" t="s">
        <v>15</v>
      </c>
      <c r="C16" s="17" t="s">
        <v>39</v>
      </c>
      <c r="D16" s="17" t="s">
        <v>35</v>
      </c>
      <c r="E16" s="4">
        <v>279.25</v>
      </c>
      <c r="F16" s="5" t="s">
        <v>12</v>
      </c>
      <c r="G16" s="4">
        <v>9.3000000000000007</v>
      </c>
      <c r="H16" s="4">
        <v>25.44</v>
      </c>
      <c r="I16" s="4">
        <v>41.37</v>
      </c>
      <c r="J16" s="4">
        <v>110.03</v>
      </c>
      <c r="K16" s="4">
        <v>17.190000000000001</v>
      </c>
      <c r="L16" s="4">
        <v>0.56999999999999995</v>
      </c>
      <c r="M16" s="4">
        <v>0.89</v>
      </c>
    </row>
    <row r="17" spans="1:13" ht="34.950000000000003" customHeight="1">
      <c r="A17" s="2">
        <v>39353</v>
      </c>
      <c r="B17" s="3" t="s">
        <v>13</v>
      </c>
      <c r="C17" s="17" t="s">
        <v>36</v>
      </c>
      <c r="D17" s="17" t="s">
        <v>35</v>
      </c>
      <c r="E17" s="4">
        <v>382.56</v>
      </c>
      <c r="F17" s="5" t="s">
        <v>12</v>
      </c>
      <c r="G17" s="4">
        <v>12.76</v>
      </c>
      <c r="H17" s="4">
        <v>28.05</v>
      </c>
      <c r="I17" s="4">
        <v>54.8</v>
      </c>
      <c r="J17" s="4">
        <v>140.65</v>
      </c>
      <c r="K17" s="4">
        <v>20.21</v>
      </c>
      <c r="L17" s="4">
        <v>0.63</v>
      </c>
      <c r="M17" s="4">
        <v>0.82</v>
      </c>
    </row>
    <row r="18" spans="1:13" ht="34.950000000000003" customHeight="1">
      <c r="A18" s="2">
        <v>39356</v>
      </c>
      <c r="B18" s="3" t="s">
        <v>11</v>
      </c>
      <c r="C18" s="17" t="s">
        <v>34</v>
      </c>
      <c r="D18" s="17" t="s">
        <v>35</v>
      </c>
      <c r="E18" s="4">
        <v>41.45</v>
      </c>
      <c r="F18" s="5" t="s">
        <v>12</v>
      </c>
      <c r="G18" s="4">
        <v>18.559999999999999</v>
      </c>
      <c r="H18" s="4">
        <v>34.33</v>
      </c>
      <c r="I18" s="4">
        <v>71.25</v>
      </c>
      <c r="J18" s="4">
        <v>174.37</v>
      </c>
      <c r="K18" s="4">
        <v>22.15</v>
      </c>
      <c r="L18" s="4">
        <v>0.71</v>
      </c>
      <c r="M18" s="4">
        <v>1.1100000000000001</v>
      </c>
    </row>
    <row r="19" spans="1:13" ht="34.950000000000003" customHeight="1">
      <c r="A19" s="2">
        <v>39356</v>
      </c>
      <c r="B19" s="3" t="s">
        <v>24</v>
      </c>
      <c r="C19" s="17" t="s">
        <v>34</v>
      </c>
      <c r="D19" s="17" t="s">
        <v>35</v>
      </c>
      <c r="E19" s="4">
        <v>29.12</v>
      </c>
      <c r="F19" s="5" t="s">
        <v>25</v>
      </c>
      <c r="G19" s="4">
        <v>12.43</v>
      </c>
      <c r="H19" s="4">
        <v>25.54</v>
      </c>
      <c r="I19" s="4">
        <v>52.47</v>
      </c>
      <c r="J19" s="4">
        <v>138.85</v>
      </c>
      <c r="K19" s="4">
        <v>18.97</v>
      </c>
      <c r="L19" s="4">
        <v>0.64</v>
      </c>
      <c r="M19" s="4">
        <v>0.9</v>
      </c>
    </row>
  </sheetData>
  <phoneticPr fontId="2" type="noConversion"/>
  <hyperlinks>
    <hyperlink ref="B17" r:id="rId1" display="http://www.funddj.com/y/ya/yp010001_CSA10.djhtm"/>
    <hyperlink ref="B19" r:id="rId2" display="http://www.funddj.com/y/ya/yp010001_PLZ42.djhtm"/>
    <hyperlink ref="B14" r:id="rId3" display="http://www.funddj.com/y/ya/yp010001_SHZA4.djhtm"/>
    <hyperlink ref="B16" r:id="rId4" display="http://www.funddj.com/y/ya/yp010001_PAZ66.djhtm"/>
    <hyperlink ref="B15" r:id="rId5" display="http://www.funddj.com/y/ya/yp010001_SHZE5.djhtm"/>
    <hyperlink ref="B12" r:id="rId6" display="http://www.funddj.com/y/ya/yp010001_KBC09.djhtm"/>
    <hyperlink ref="B11" r:id="rId7" display="http://www.funddj.com/y/ya/yp010001_PYZ22.djhtm"/>
    <hyperlink ref="B10" r:id="rId8" display="http://www.funddj.com/y/ya/yp010001_CTZ49.djhtm"/>
    <hyperlink ref="B9" r:id="rId9" display="http://www.funddj.com/y/ya/yp010001_ABZ16.djhtm"/>
    <hyperlink ref="B6" r:id="rId10" display="http://www.funddj.com/y/ya/yp010001_AEB86.djhtm"/>
    <hyperlink ref="B8" r:id="rId11" display="http://www.funddj.com/y/ya/yp010001_AEB88.djhtm"/>
    <hyperlink ref="B2" r:id="rId12" display="http://www.funddj.com/y/ya/yp010001_GSF05.djhtm"/>
    <hyperlink ref="B13" r:id="rId13" display="http://www.funddj.com/y/ya/yp010001_SHZA5.djhtm"/>
    <hyperlink ref="B4" r:id="rId14" display="http://www.funddj.com/y/ya/yp010001_SHZA6.djhtm"/>
    <hyperlink ref="B5" r:id="rId15" display="http://www.funddj.com/y/ya/yp010001_SHZE6.djhtm"/>
    <hyperlink ref="B3" r:id="rId16" display="http://www.funddj.com/y/ya/yp010001_SHZA7.djhtm"/>
    <hyperlink ref="B7" r:id="rId17" display="http://www.funddj.com/y/ya/yp010001_AEB87.djhtm"/>
    <hyperlink ref="B18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習題解答</vt:lpstr>
      <vt:lpstr>Data</vt:lpstr>
      <vt:lpstr>習題解答!OLE_LINK7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cp:lastPrinted>2007-10-10T07:31:33Z</cp:lastPrinted>
  <dcterms:created xsi:type="dcterms:W3CDTF">2007-10-10T07:25:00Z</dcterms:created>
  <dcterms:modified xsi:type="dcterms:W3CDTF">2017-09-29T03:39:34Z</dcterms:modified>
</cp:coreProperties>
</file>