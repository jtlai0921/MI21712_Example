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5章 Excel進階2：機率統計\習題\"/>
    </mc:Choice>
  </mc:AlternateContent>
  <bookViews>
    <workbookView xWindow="240" yWindow="96" windowWidth="11712" windowHeight="8676"/>
  </bookViews>
  <sheets>
    <sheet name="統計函數 (基本)" sheetId="10" r:id="rId1"/>
  </sheets>
  <calcPr calcId="162913"/>
</workbook>
</file>

<file path=xl/calcChain.xml><?xml version="1.0" encoding="utf-8"?>
<calcChain xmlns="http://schemas.openxmlformats.org/spreadsheetml/2006/main">
  <c r="K3" i="10" l="1"/>
  <c r="K4" i="10"/>
  <c r="K5" i="10"/>
  <c r="K6" i="10"/>
  <c r="K2" i="10"/>
  <c r="J2" i="10" l="1"/>
  <c r="F3" i="10" l="1"/>
  <c r="G3" i="10"/>
  <c r="H3" i="10"/>
  <c r="I3" i="10"/>
  <c r="F4" i="10"/>
  <c r="G4" i="10"/>
  <c r="H4" i="10"/>
  <c r="I4" i="10"/>
  <c r="F5" i="10"/>
  <c r="G5" i="10"/>
  <c r="H5" i="10"/>
  <c r="I5" i="10"/>
  <c r="F6" i="10"/>
  <c r="G6" i="10"/>
  <c r="H6" i="10"/>
  <c r="I6" i="10"/>
  <c r="I2" i="10"/>
  <c r="H2" i="10"/>
  <c r="G2" i="10"/>
  <c r="F2" i="10"/>
  <c r="J3" i="10" l="1"/>
  <c r="J4" i="10"/>
  <c r="J6" i="10"/>
  <c r="J5" i="10"/>
</calcChain>
</file>

<file path=xl/sharedStrings.xml><?xml version="1.0" encoding="utf-8"?>
<sst xmlns="http://schemas.openxmlformats.org/spreadsheetml/2006/main" count="16" uniqueCount="16">
  <si>
    <t>林語堂</t>
    <phoneticPr fontId="1" type="noConversion"/>
  </si>
  <si>
    <t>學生</t>
    <phoneticPr fontId="1" type="noConversion"/>
  </si>
  <si>
    <t>計概</t>
    <phoneticPr fontId="1" type="noConversion"/>
  </si>
  <si>
    <t>微積分</t>
    <phoneticPr fontId="1" type="noConversion"/>
  </si>
  <si>
    <t>管數</t>
    <phoneticPr fontId="1" type="noConversion"/>
  </si>
  <si>
    <t>程式</t>
    <phoneticPr fontId="1" type="noConversion"/>
  </si>
  <si>
    <t>王建民</t>
    <phoneticPr fontId="1" type="noConversion"/>
  </si>
  <si>
    <t>李商隱</t>
    <phoneticPr fontId="1" type="noConversion"/>
  </si>
  <si>
    <t>吳郭魚</t>
    <phoneticPr fontId="1" type="noConversion"/>
  </si>
  <si>
    <t>朱元璋</t>
    <phoneticPr fontId="1" type="noConversion"/>
  </si>
  <si>
    <t>average</t>
    <phoneticPr fontId="1" type="noConversion"/>
  </si>
  <si>
    <t>min</t>
    <phoneticPr fontId="1" type="noConversion"/>
  </si>
  <si>
    <t>max</t>
    <phoneticPr fontId="1" type="noConversion"/>
  </si>
  <si>
    <t>stdev</t>
    <phoneticPr fontId="1" type="noConversion"/>
  </si>
  <si>
    <t>Rank</t>
    <phoneticPr fontId="1" type="noConversion"/>
  </si>
  <si>
    <t>計概名次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</si>
</sst>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388620</xdr:colOff>
      <xdr:row>0</xdr:row>
      <xdr:rowOff>175260</xdr:rowOff>
    </xdr:from>
    <xdr:to>
      <xdr:col>18</xdr:col>
      <xdr:colOff>243840</xdr:colOff>
      <xdr:row>14</xdr:row>
      <xdr:rowOff>190500</xdr:rowOff>
    </xdr:to>
    <xdr:sp macro="" textlink="">
      <xdr:nvSpPr>
        <xdr:cNvPr id="3" name="文字方塊 2"/>
        <xdr:cNvSpPr txBox="1"/>
      </xdr:nvSpPr>
      <xdr:spPr>
        <a:xfrm>
          <a:off x="7094220" y="175260"/>
          <a:ext cx="4122420" cy="28956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統計函數 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基本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=AVERAGE(B2:E2)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取平均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=MIN(B2:E2)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取最小</a:t>
          </a: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=MAX(B2:E2)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取最大</a:t>
          </a: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=STDEV(B2:D2)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取標準差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=RANK(F2,$F$2:$F$6)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」取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欄的排序值，最大值為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，最小值為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假設有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個值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練習：試在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欄取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欄的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Rank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值，但改成最小值為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，最大值為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假設有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個值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C12" sqref="C12"/>
    </sheetView>
  </sheetViews>
  <sheetFormatPr defaultRowHeight="16.2"/>
  <sheetData>
    <row r="1" spans="1:1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s="3" t="s">
        <v>15</v>
      </c>
    </row>
    <row r="2" spans="1:11">
      <c r="A2" t="s">
        <v>6</v>
      </c>
      <c r="B2" s="1">
        <v>88</v>
      </c>
      <c r="C2" s="1">
        <v>90</v>
      </c>
      <c r="D2" s="1">
        <v>60</v>
      </c>
      <c r="E2" s="1">
        <v>27</v>
      </c>
      <c r="F2">
        <f>AVERAGE(B2:E2)</f>
        <v>66.25</v>
      </c>
      <c r="G2">
        <f>MIN(B2:E2)</f>
        <v>27</v>
      </c>
      <c r="H2">
        <f>MAX(B2:E2)</f>
        <v>90</v>
      </c>
      <c r="I2" s="2">
        <f>STDEV(B2:D2)</f>
        <v>16.772994167212183</v>
      </c>
      <c r="J2">
        <f>RANK(F2,$F$2:$F$6)</f>
        <v>1</v>
      </c>
      <c r="K2" s="3">
        <f>RANK(B2,$B$2:$B$6,1)</f>
        <v>5</v>
      </c>
    </row>
    <row r="3" spans="1:11">
      <c r="A3" t="s">
        <v>7</v>
      </c>
      <c r="B3" s="1">
        <v>13</v>
      </c>
      <c r="C3" s="1">
        <v>50</v>
      </c>
      <c r="D3" s="1">
        <v>40</v>
      </c>
      <c r="E3" s="1">
        <v>40</v>
      </c>
      <c r="F3">
        <f>AVERAGE(B3:E3)</f>
        <v>35.75</v>
      </c>
      <c r="G3">
        <f>MIN(B3:E3)</f>
        <v>13</v>
      </c>
      <c r="H3">
        <f>MAX(B3:E3)</f>
        <v>50</v>
      </c>
      <c r="I3" s="2">
        <f>STDEV(B3:D3)</f>
        <v>19.139836293274122</v>
      </c>
      <c r="J3">
        <f t="shared" ref="J3:J6" si="0">RANK(F3,$F$2:$F$6)</f>
        <v>3</v>
      </c>
      <c r="K3" s="3">
        <f t="shared" ref="K3:K6" si="1">RANK(B3,$B$2:$B$6,1)</f>
        <v>1</v>
      </c>
    </row>
    <row r="4" spans="1:11">
      <c r="A4" t="s">
        <v>8</v>
      </c>
      <c r="B4" s="1">
        <v>49</v>
      </c>
      <c r="C4" s="1">
        <v>30</v>
      </c>
      <c r="D4" s="1">
        <v>30</v>
      </c>
      <c r="E4" s="1">
        <v>30</v>
      </c>
      <c r="F4">
        <f>AVERAGE(B4:E4)</f>
        <v>34.75</v>
      </c>
      <c r="G4">
        <f>MIN(B4:E4)</f>
        <v>30</v>
      </c>
      <c r="H4">
        <f>MAX(B4:E4)</f>
        <v>49</v>
      </c>
      <c r="I4" s="2">
        <f>STDEV(B4:D4)</f>
        <v>10.969655114602887</v>
      </c>
      <c r="J4">
        <f t="shared" si="0"/>
        <v>5</v>
      </c>
      <c r="K4" s="3">
        <f t="shared" si="1"/>
        <v>2</v>
      </c>
    </row>
    <row r="5" spans="1:11">
      <c r="A5" t="s">
        <v>0</v>
      </c>
      <c r="B5" s="1">
        <v>67</v>
      </c>
      <c r="C5" s="1">
        <v>33</v>
      </c>
      <c r="D5" s="1">
        <v>20</v>
      </c>
      <c r="E5" s="1">
        <v>20</v>
      </c>
      <c r="F5">
        <f>AVERAGE(B5:E5)</f>
        <v>35</v>
      </c>
      <c r="G5">
        <f>MIN(B5:E5)</f>
        <v>20</v>
      </c>
      <c r="H5">
        <f>MAX(B5:E5)</f>
        <v>67</v>
      </c>
      <c r="I5" s="2">
        <f>STDEV(B5:D5)</f>
        <v>24.269322199023193</v>
      </c>
      <c r="J5">
        <f t="shared" si="0"/>
        <v>4</v>
      </c>
      <c r="K5" s="3">
        <f t="shared" si="1"/>
        <v>3</v>
      </c>
    </row>
    <row r="6" spans="1:11">
      <c r="A6" t="s">
        <v>9</v>
      </c>
      <c r="B6" s="1">
        <v>80</v>
      </c>
      <c r="C6" s="1">
        <v>70</v>
      </c>
      <c r="D6" s="1">
        <v>10</v>
      </c>
      <c r="E6" s="1">
        <v>60</v>
      </c>
      <c r="F6">
        <f>AVERAGE(B6:E6)</f>
        <v>55</v>
      </c>
      <c r="G6">
        <f>MIN(B6:E6)</f>
        <v>10</v>
      </c>
      <c r="H6">
        <f>MAX(B6:E6)</f>
        <v>80</v>
      </c>
      <c r="I6" s="2">
        <f>STDEV(B6:D6)</f>
        <v>37.859388972001817</v>
      </c>
      <c r="J6">
        <f t="shared" si="0"/>
        <v>2</v>
      </c>
      <c r="K6" s="3">
        <f t="shared" si="1"/>
        <v>4</v>
      </c>
    </row>
    <row r="7" spans="1:11">
      <c r="I7" s="2"/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統計函數 (基本)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2007-10-02T08:25:53Z</dcterms:created>
  <dcterms:modified xsi:type="dcterms:W3CDTF">2017-09-29T04:11:55Z</dcterms:modified>
</cp:coreProperties>
</file>