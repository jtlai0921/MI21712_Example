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240" yWindow="96" windowWidth="11712" windowHeight="8676" activeTab="3"/>
  </bookViews>
  <sheets>
    <sheet name="資料庫函數 (4)" sheetId="12" r:id="rId1"/>
    <sheet name="資料庫函數 (3)" sheetId="11" r:id="rId2"/>
    <sheet name="資料庫函數 (2)" sheetId="10" r:id="rId3"/>
    <sheet name="資料庫函數 (1)" sheetId="9" r:id="rId4"/>
  </sheets>
  <calcPr calcId="162913"/>
</workbook>
</file>

<file path=xl/calcChain.xml><?xml version="1.0" encoding="utf-8"?>
<calcChain xmlns="http://schemas.openxmlformats.org/spreadsheetml/2006/main">
  <c r="B19" i="12" l="1"/>
  <c r="B19" i="10"/>
  <c r="B19" i="11"/>
  <c r="F13" i="12"/>
  <c r="F12" i="12"/>
  <c r="F11" i="12"/>
  <c r="F10" i="12"/>
  <c r="F9" i="12"/>
  <c r="F8" i="12"/>
  <c r="F7" i="12"/>
  <c r="F6" i="12"/>
  <c r="F5" i="12"/>
  <c r="F4" i="12"/>
  <c r="F3" i="12"/>
  <c r="F13" i="11"/>
  <c r="F12" i="11"/>
  <c r="F11" i="11"/>
  <c r="F10" i="11"/>
  <c r="F9" i="11"/>
  <c r="F8" i="11"/>
  <c r="F7" i="11"/>
  <c r="F6" i="11"/>
  <c r="F5" i="11"/>
  <c r="F4" i="11"/>
  <c r="F3" i="11"/>
  <c r="F13" i="10"/>
  <c r="F12" i="10"/>
  <c r="F11" i="10"/>
  <c r="F10" i="10"/>
  <c r="F9" i="10"/>
  <c r="F8" i="10"/>
  <c r="F7" i="10"/>
  <c r="F6" i="10"/>
  <c r="F5" i="10"/>
  <c r="F4" i="10"/>
  <c r="F3" i="10"/>
  <c r="B19" i="9" l="1"/>
  <c r="F3" i="9" l="1"/>
  <c r="F4" i="9"/>
  <c r="F5" i="9"/>
  <c r="F6" i="9"/>
  <c r="F7" i="9"/>
  <c r="F8" i="9"/>
  <c r="F9" i="9"/>
  <c r="F10" i="9"/>
  <c r="F11" i="9"/>
  <c r="F12" i="9"/>
  <c r="F13" i="9"/>
</calcChain>
</file>

<file path=xl/sharedStrings.xml><?xml version="1.0" encoding="utf-8"?>
<sst xmlns="http://schemas.openxmlformats.org/spreadsheetml/2006/main" count="199" uniqueCount="22">
  <si>
    <t>學生</t>
  </si>
  <si>
    <t>計概</t>
  </si>
  <si>
    <t>科目</t>
  </si>
  <si>
    <t>成績</t>
  </si>
  <si>
    <t>等級</t>
  </si>
  <si>
    <t>地區編號</t>
  </si>
  <si>
    <t>丁一</t>
  </si>
  <si>
    <t>數學</t>
  </si>
  <si>
    <t>王五</t>
  </si>
  <si>
    <t>英文</t>
  </si>
  <si>
    <t>李四</t>
  </si>
  <si>
    <t>張三</t>
  </si>
  <si>
    <t>IF</t>
    <phoneticPr fontId="1" type="noConversion"/>
  </si>
  <si>
    <t>科目代號</t>
    <phoneticPr fontId="1" type="noConversion"/>
  </si>
  <si>
    <t>C01</t>
    <phoneticPr fontId="1" type="noConversion"/>
  </si>
  <si>
    <t>C02</t>
    <phoneticPr fontId="1" type="noConversion"/>
  </si>
  <si>
    <t>C03</t>
    <phoneticPr fontId="1" type="noConversion"/>
  </si>
  <si>
    <t>英文</t>
    <phoneticPr fontId="1" type="noConversion"/>
  </si>
  <si>
    <t>DAVERAGE</t>
    <phoneticPr fontId="1" type="noConversion"/>
  </si>
  <si>
    <r>
      <t xml:space="preserve">(1) </t>
    </r>
    <r>
      <rPr>
        <sz val="12"/>
        <rFont val="新細明體"/>
        <family val="1"/>
        <charset val="136"/>
      </rPr>
      <t>科目</t>
    </r>
    <r>
      <rPr>
        <sz val="12"/>
        <rFont val="Times New Roman"/>
        <family val="1"/>
      </rPr>
      <t>=</t>
    </r>
    <r>
      <rPr>
        <sz val="12"/>
        <rFont val="新細明體"/>
        <family val="1"/>
        <charset val="136"/>
      </rPr>
      <t>英文</t>
    </r>
    <r>
      <rPr>
        <sz val="12"/>
        <rFont val="Times New Roman"/>
        <family val="1"/>
      </rPr>
      <t xml:space="preserve"> (2) </t>
    </r>
    <r>
      <rPr>
        <sz val="12"/>
        <rFont val="新細明體"/>
        <family val="1"/>
        <charset val="136"/>
      </rPr>
      <t>科目</t>
    </r>
    <r>
      <rPr>
        <sz val="12"/>
        <rFont val="Times New Roman"/>
        <family val="1"/>
      </rPr>
      <t>=</t>
    </r>
    <r>
      <rPr>
        <sz val="12"/>
        <rFont val="新細明體"/>
        <family val="1"/>
        <charset val="136"/>
      </rPr>
      <t>英文或數學</t>
    </r>
    <r>
      <rPr>
        <sz val="12"/>
        <rFont val="Times New Roman"/>
        <family val="1"/>
      </rPr>
      <t xml:space="preserve"> (3) </t>
    </r>
    <r>
      <rPr>
        <sz val="12"/>
        <rFont val="新細明體"/>
        <family val="1"/>
        <charset val="136"/>
      </rPr>
      <t>科目</t>
    </r>
    <r>
      <rPr>
        <sz val="12"/>
        <rFont val="Times New Roman"/>
        <family val="1"/>
      </rPr>
      <t>=</t>
    </r>
    <r>
      <rPr>
        <sz val="12"/>
        <rFont val="新細明體"/>
        <family val="1"/>
        <charset val="136"/>
      </rPr>
      <t>英文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且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地區編號</t>
    </r>
    <r>
      <rPr>
        <sz val="12"/>
        <rFont val="Times New Roman"/>
        <family val="1"/>
      </rPr>
      <t xml:space="preserve">&gt;1 (4) </t>
    </r>
    <r>
      <rPr>
        <sz val="12"/>
        <rFont val="新細明體"/>
        <family val="1"/>
        <charset val="136"/>
      </rPr>
      <t>科目</t>
    </r>
    <r>
      <rPr>
        <sz val="12"/>
        <rFont val="Times New Roman"/>
        <family val="1"/>
      </rPr>
      <t>=</t>
    </r>
    <r>
      <rPr>
        <sz val="12"/>
        <rFont val="新細明體"/>
        <family val="1"/>
        <charset val="136"/>
      </rPr>
      <t>英文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或</t>
    </r>
    <r>
      <rPr>
        <sz val="12"/>
        <rFont val="Times New Roman"/>
        <family val="1"/>
      </rPr>
      <t xml:space="preserve"> </t>
    </r>
    <r>
      <rPr>
        <sz val="12"/>
        <rFont val="新細明體"/>
        <family val="1"/>
        <charset val="136"/>
      </rPr>
      <t>地區編號</t>
    </r>
    <r>
      <rPr>
        <sz val="12"/>
        <rFont val="Times New Roman"/>
        <family val="1"/>
      </rPr>
      <t>&gt;1</t>
    </r>
  </si>
  <si>
    <t>&gt;1</t>
    <phoneticPr fontId="1" type="noConversion"/>
  </si>
  <si>
    <t>&gt;1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</si>
</sst>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327660</xdr:colOff>
      <xdr:row>12</xdr:row>
      <xdr:rowOff>60960</xdr:rowOff>
    </xdr:to>
    <xdr:sp macro="" textlink="">
      <xdr:nvSpPr>
        <xdr:cNvPr id="2" name="文字方塊 1"/>
        <xdr:cNvSpPr txBox="1"/>
      </xdr:nvSpPr>
      <xdr:spPr>
        <a:xfrm>
          <a:off x="4655820" y="205740"/>
          <a:ext cx="7033260" cy="2324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資料庫函數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B18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=DSUM($B$2:$G$13,"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者的成績總和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=DAVERAGE($B$2:$G$13,"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=DMIN($B$2:$G$13,"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=DMAX($B$2:$G$13,"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327660</xdr:colOff>
      <xdr:row>12</xdr:row>
      <xdr:rowOff>60960</xdr:rowOff>
    </xdr:to>
    <xdr:sp macro="" textlink="">
      <xdr:nvSpPr>
        <xdr:cNvPr id="2" name="文字方塊 1"/>
        <xdr:cNvSpPr txBox="1"/>
      </xdr:nvSpPr>
      <xdr:spPr>
        <a:xfrm>
          <a:off x="4655820" y="205740"/>
          <a:ext cx="7033260" cy="2324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資料庫函數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B18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=DSUM($B$2:$G$13,"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者的成績總和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=DAVERAGE($B$2:$G$13,"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=DMIN($B$2:$G$13,"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=DMAX($B$2:$G$13,"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327660</xdr:colOff>
      <xdr:row>12</xdr:row>
      <xdr:rowOff>60960</xdr:rowOff>
    </xdr:to>
    <xdr:sp macro="" textlink="">
      <xdr:nvSpPr>
        <xdr:cNvPr id="2" name="文字方塊 1"/>
        <xdr:cNvSpPr txBox="1"/>
      </xdr:nvSpPr>
      <xdr:spPr>
        <a:xfrm>
          <a:off x="4655820" y="205740"/>
          <a:ext cx="7033260" cy="2324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資料庫函數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B18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=DSUM($B$2:$G$13,"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者的成績總和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=DAVERAGE($B$2:$G$13,"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=DMIN($B$2:$G$13,"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=DMAX($B$2:$G$13,"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327660</xdr:colOff>
      <xdr:row>12</xdr:row>
      <xdr:rowOff>60960</xdr:rowOff>
    </xdr:to>
    <xdr:sp macro="" textlink="">
      <xdr:nvSpPr>
        <xdr:cNvPr id="2" name="文字方塊 1"/>
        <xdr:cNvSpPr txBox="1"/>
      </xdr:nvSpPr>
      <xdr:spPr>
        <a:xfrm>
          <a:off x="4655820" y="205740"/>
          <a:ext cx="7033260" cy="23241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資料庫函數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B18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=DSUM($B$2:$G$13,"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者的成績總和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B19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=DAVERAGE($B$2:$G$13,"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=DMIN($B$2:$G$13,"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最小值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=DMAX($B$2:$G$13,"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",$B$15:$G$16)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」計算成績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&gt;60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者的成績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最大值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B20" sqref="B20"/>
    </sheetView>
  </sheetViews>
  <sheetFormatPr defaultRowHeight="16.2"/>
  <cols>
    <col min="2" max="3" width="9.44140625" bestFit="1" customWidth="1"/>
    <col min="4" max="6" width="4.77734375" bestFit="1" customWidth="1"/>
    <col min="7" max="7" width="8" bestFit="1" customWidth="1"/>
  </cols>
  <sheetData>
    <row r="1" spans="2:7">
      <c r="F1" t="s">
        <v>12</v>
      </c>
    </row>
    <row r="2" spans="2:7">
      <c r="B2" s="1" t="s">
        <v>0</v>
      </c>
      <c r="C2" s="2" t="s">
        <v>13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 t="s">
        <v>6</v>
      </c>
      <c r="C3" s="1" t="s">
        <v>14</v>
      </c>
      <c r="D3" s="1" t="s">
        <v>7</v>
      </c>
      <c r="E3" s="3">
        <v>65</v>
      </c>
      <c r="F3" s="1" t="str">
        <f t="shared" ref="F3:F13" si="0">IF(E3&lt;30,"劣",IF(E3&lt;60,"差",IF(E3&lt;80,"普","優")))</f>
        <v>普</v>
      </c>
      <c r="G3" s="3">
        <v>1</v>
      </c>
    </row>
    <row r="4" spans="2:7">
      <c r="B4" s="1" t="s">
        <v>8</v>
      </c>
      <c r="C4" s="1" t="s">
        <v>15</v>
      </c>
      <c r="D4" s="1" t="s">
        <v>1</v>
      </c>
      <c r="E4" s="3">
        <v>70</v>
      </c>
      <c r="F4" s="1" t="str">
        <f t="shared" si="0"/>
        <v>普</v>
      </c>
      <c r="G4" s="3">
        <v>2</v>
      </c>
    </row>
    <row r="5" spans="2:7">
      <c r="B5" s="1" t="s">
        <v>8</v>
      </c>
      <c r="C5" s="1" t="s">
        <v>16</v>
      </c>
      <c r="D5" s="1" t="s">
        <v>17</v>
      </c>
      <c r="E5" s="3">
        <v>100</v>
      </c>
      <c r="F5" s="1" t="str">
        <f t="shared" si="0"/>
        <v>優</v>
      </c>
      <c r="G5" s="3">
        <v>3</v>
      </c>
    </row>
    <row r="6" spans="2:7">
      <c r="B6" s="1" t="s">
        <v>6</v>
      </c>
      <c r="C6" s="1" t="s">
        <v>16</v>
      </c>
      <c r="D6" s="1" t="s">
        <v>9</v>
      </c>
      <c r="E6" s="3">
        <v>80</v>
      </c>
      <c r="F6" s="1" t="str">
        <f t="shared" si="0"/>
        <v>優</v>
      </c>
      <c r="G6" s="3">
        <v>1</v>
      </c>
    </row>
    <row r="7" spans="2:7">
      <c r="B7" s="1" t="s">
        <v>10</v>
      </c>
      <c r="C7" s="1" t="s">
        <v>14</v>
      </c>
      <c r="D7" s="1" t="s">
        <v>7</v>
      </c>
      <c r="E7" s="3">
        <v>90</v>
      </c>
      <c r="F7" s="1" t="str">
        <f t="shared" si="0"/>
        <v>優</v>
      </c>
      <c r="G7" s="3">
        <v>2</v>
      </c>
    </row>
    <row r="8" spans="2:7">
      <c r="B8" s="1" t="s">
        <v>10</v>
      </c>
      <c r="C8" s="1" t="s">
        <v>15</v>
      </c>
      <c r="D8" s="1" t="s">
        <v>1</v>
      </c>
      <c r="E8" s="3">
        <v>40</v>
      </c>
      <c r="F8" s="1" t="str">
        <f t="shared" si="0"/>
        <v>差</v>
      </c>
      <c r="G8" s="3">
        <v>3</v>
      </c>
    </row>
    <row r="9" spans="2:7">
      <c r="B9" s="1" t="s">
        <v>11</v>
      </c>
      <c r="C9" s="1" t="s">
        <v>14</v>
      </c>
      <c r="D9" s="1" t="s">
        <v>7</v>
      </c>
      <c r="E9" s="3">
        <v>30</v>
      </c>
      <c r="F9" s="1" t="str">
        <f t="shared" si="0"/>
        <v>差</v>
      </c>
      <c r="G9" s="3">
        <v>1</v>
      </c>
    </row>
    <row r="10" spans="2:7">
      <c r="B10" s="1" t="s">
        <v>10</v>
      </c>
      <c r="C10" s="1" t="s">
        <v>14</v>
      </c>
      <c r="D10" s="1" t="s">
        <v>7</v>
      </c>
      <c r="E10" s="3">
        <v>60</v>
      </c>
      <c r="F10" s="1" t="str">
        <f t="shared" si="0"/>
        <v>普</v>
      </c>
      <c r="G10" s="3">
        <v>1</v>
      </c>
    </row>
    <row r="11" spans="2:7">
      <c r="B11" s="1" t="s">
        <v>11</v>
      </c>
      <c r="C11" s="1" t="s">
        <v>15</v>
      </c>
      <c r="D11" s="1" t="s">
        <v>1</v>
      </c>
      <c r="E11" s="3">
        <v>10</v>
      </c>
      <c r="F11" s="1" t="str">
        <f t="shared" si="0"/>
        <v>劣</v>
      </c>
      <c r="G11" s="3">
        <v>2</v>
      </c>
    </row>
    <row r="12" spans="2:7">
      <c r="B12" s="1" t="s">
        <v>10</v>
      </c>
      <c r="C12" s="1" t="s">
        <v>16</v>
      </c>
      <c r="D12" s="1" t="s">
        <v>9</v>
      </c>
      <c r="E12" s="3">
        <v>20</v>
      </c>
      <c r="F12" s="1" t="str">
        <f t="shared" si="0"/>
        <v>劣</v>
      </c>
      <c r="G12" s="3">
        <v>2</v>
      </c>
    </row>
    <row r="13" spans="2:7">
      <c r="B13" s="1" t="s">
        <v>8</v>
      </c>
      <c r="C13" s="1" t="s">
        <v>16</v>
      </c>
      <c r="D13" s="1" t="s">
        <v>9</v>
      </c>
      <c r="E13" s="3">
        <v>50</v>
      </c>
      <c r="F13" s="1" t="str">
        <f t="shared" si="0"/>
        <v>差</v>
      </c>
      <c r="G13" s="3">
        <v>3</v>
      </c>
    </row>
    <row r="15" spans="2:7">
      <c r="B15" s="1" t="s">
        <v>0</v>
      </c>
      <c r="C15" s="2" t="s">
        <v>13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>
      <c r="D16" t="s">
        <v>9</v>
      </c>
    </row>
    <row r="17" spans="1:7">
      <c r="G17" t="s">
        <v>21</v>
      </c>
    </row>
    <row r="19" spans="1:7">
      <c r="A19" t="s">
        <v>18</v>
      </c>
      <c r="B19">
        <f>DAVERAGE($B$2:$G$13,"成績",$B$15:$G$17)</f>
        <v>57.5</v>
      </c>
    </row>
    <row r="23" spans="1:7">
      <c r="B23" s="4" t="s">
        <v>19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D16" sqref="D16:G16"/>
    </sheetView>
  </sheetViews>
  <sheetFormatPr defaultRowHeight="16.2"/>
  <cols>
    <col min="2" max="3" width="9.44140625" bestFit="1" customWidth="1"/>
    <col min="4" max="6" width="4.77734375" bestFit="1" customWidth="1"/>
    <col min="7" max="7" width="8" bestFit="1" customWidth="1"/>
  </cols>
  <sheetData>
    <row r="1" spans="2:7">
      <c r="F1" t="s">
        <v>12</v>
      </c>
    </row>
    <row r="2" spans="2:7">
      <c r="B2" s="1" t="s">
        <v>0</v>
      </c>
      <c r="C2" s="2" t="s">
        <v>13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 t="s">
        <v>6</v>
      </c>
      <c r="C3" s="1" t="s">
        <v>14</v>
      </c>
      <c r="D3" s="1" t="s">
        <v>7</v>
      </c>
      <c r="E3" s="3">
        <v>65</v>
      </c>
      <c r="F3" s="1" t="str">
        <f t="shared" ref="F3:F13" si="0">IF(E3&lt;30,"劣",IF(E3&lt;60,"差",IF(E3&lt;80,"普","優")))</f>
        <v>普</v>
      </c>
      <c r="G3" s="3">
        <v>1</v>
      </c>
    </row>
    <row r="4" spans="2:7">
      <c r="B4" s="1" t="s">
        <v>8</v>
      </c>
      <c r="C4" s="1" t="s">
        <v>15</v>
      </c>
      <c r="D4" s="1" t="s">
        <v>1</v>
      </c>
      <c r="E4" s="3">
        <v>70</v>
      </c>
      <c r="F4" s="1" t="str">
        <f t="shared" si="0"/>
        <v>普</v>
      </c>
      <c r="G4" s="3">
        <v>2</v>
      </c>
    </row>
    <row r="5" spans="2:7">
      <c r="B5" s="1" t="s">
        <v>8</v>
      </c>
      <c r="C5" s="1" t="s">
        <v>16</v>
      </c>
      <c r="D5" s="1" t="s">
        <v>17</v>
      </c>
      <c r="E5" s="3">
        <v>100</v>
      </c>
      <c r="F5" s="1" t="str">
        <f t="shared" si="0"/>
        <v>優</v>
      </c>
      <c r="G5" s="3">
        <v>3</v>
      </c>
    </row>
    <row r="6" spans="2:7">
      <c r="B6" s="1" t="s">
        <v>6</v>
      </c>
      <c r="C6" s="1" t="s">
        <v>16</v>
      </c>
      <c r="D6" s="1" t="s">
        <v>9</v>
      </c>
      <c r="E6" s="3">
        <v>80</v>
      </c>
      <c r="F6" s="1" t="str">
        <f t="shared" si="0"/>
        <v>優</v>
      </c>
      <c r="G6" s="3">
        <v>1</v>
      </c>
    </row>
    <row r="7" spans="2:7">
      <c r="B7" s="1" t="s">
        <v>10</v>
      </c>
      <c r="C7" s="1" t="s">
        <v>14</v>
      </c>
      <c r="D7" s="1" t="s">
        <v>7</v>
      </c>
      <c r="E7" s="3">
        <v>90</v>
      </c>
      <c r="F7" s="1" t="str">
        <f t="shared" si="0"/>
        <v>優</v>
      </c>
      <c r="G7" s="3">
        <v>2</v>
      </c>
    </row>
    <row r="8" spans="2:7">
      <c r="B8" s="1" t="s">
        <v>10</v>
      </c>
      <c r="C8" s="1" t="s">
        <v>15</v>
      </c>
      <c r="D8" s="1" t="s">
        <v>1</v>
      </c>
      <c r="E8" s="3">
        <v>40</v>
      </c>
      <c r="F8" s="1" t="str">
        <f t="shared" si="0"/>
        <v>差</v>
      </c>
      <c r="G8" s="3">
        <v>3</v>
      </c>
    </row>
    <row r="9" spans="2:7">
      <c r="B9" s="1" t="s">
        <v>11</v>
      </c>
      <c r="C9" s="1" t="s">
        <v>14</v>
      </c>
      <c r="D9" s="1" t="s">
        <v>7</v>
      </c>
      <c r="E9" s="3">
        <v>30</v>
      </c>
      <c r="F9" s="1" t="str">
        <f t="shared" si="0"/>
        <v>差</v>
      </c>
      <c r="G9" s="3">
        <v>1</v>
      </c>
    </row>
    <row r="10" spans="2:7">
      <c r="B10" s="1" t="s">
        <v>10</v>
      </c>
      <c r="C10" s="1" t="s">
        <v>14</v>
      </c>
      <c r="D10" s="1" t="s">
        <v>7</v>
      </c>
      <c r="E10" s="3">
        <v>60</v>
      </c>
      <c r="F10" s="1" t="str">
        <f t="shared" si="0"/>
        <v>普</v>
      </c>
      <c r="G10" s="3">
        <v>1</v>
      </c>
    </row>
    <row r="11" spans="2:7">
      <c r="B11" s="1" t="s">
        <v>11</v>
      </c>
      <c r="C11" s="1" t="s">
        <v>15</v>
      </c>
      <c r="D11" s="1" t="s">
        <v>1</v>
      </c>
      <c r="E11" s="3">
        <v>10</v>
      </c>
      <c r="F11" s="1" t="str">
        <f t="shared" si="0"/>
        <v>劣</v>
      </c>
      <c r="G11" s="3">
        <v>2</v>
      </c>
    </row>
    <row r="12" spans="2:7">
      <c r="B12" s="1" t="s">
        <v>10</v>
      </c>
      <c r="C12" s="1" t="s">
        <v>16</v>
      </c>
      <c r="D12" s="1" t="s">
        <v>9</v>
      </c>
      <c r="E12" s="3">
        <v>20</v>
      </c>
      <c r="F12" s="1" t="str">
        <f t="shared" si="0"/>
        <v>劣</v>
      </c>
      <c r="G12" s="3">
        <v>2</v>
      </c>
    </row>
    <row r="13" spans="2:7">
      <c r="B13" s="1" t="s">
        <v>8</v>
      </c>
      <c r="C13" s="1" t="s">
        <v>16</v>
      </c>
      <c r="D13" s="1" t="s">
        <v>9</v>
      </c>
      <c r="E13" s="3">
        <v>50</v>
      </c>
      <c r="F13" s="1" t="str">
        <f t="shared" si="0"/>
        <v>差</v>
      </c>
      <c r="G13" s="3">
        <v>3</v>
      </c>
    </row>
    <row r="15" spans="2:7">
      <c r="B15" s="1" t="s">
        <v>0</v>
      </c>
      <c r="C15" s="2" t="s">
        <v>13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>
      <c r="D16" t="s">
        <v>9</v>
      </c>
      <c r="G16" t="s">
        <v>20</v>
      </c>
    </row>
    <row r="19" spans="1:2">
      <c r="A19" t="s">
        <v>18</v>
      </c>
      <c r="B19">
        <f>DAVERAGE($B$2:$G$13,"成績",$B$15:$G$16)</f>
        <v>56.666666666666664</v>
      </c>
    </row>
    <row r="23" spans="1:2">
      <c r="B23" s="4" t="s">
        <v>19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B20" sqref="B20"/>
    </sheetView>
  </sheetViews>
  <sheetFormatPr defaultRowHeight="16.2"/>
  <cols>
    <col min="2" max="2" width="9.6640625" bestFit="1" customWidth="1"/>
    <col min="3" max="3" width="9.44140625" bestFit="1" customWidth="1"/>
    <col min="4" max="6" width="4.77734375" bestFit="1" customWidth="1"/>
    <col min="7" max="7" width="8" bestFit="1" customWidth="1"/>
  </cols>
  <sheetData>
    <row r="1" spans="2:7">
      <c r="F1" t="s">
        <v>12</v>
      </c>
    </row>
    <row r="2" spans="2:7">
      <c r="B2" s="1" t="s">
        <v>0</v>
      </c>
      <c r="C2" s="2" t="s">
        <v>13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 t="s">
        <v>6</v>
      </c>
      <c r="C3" s="1" t="s">
        <v>14</v>
      </c>
      <c r="D3" s="1" t="s">
        <v>7</v>
      </c>
      <c r="E3" s="3">
        <v>65</v>
      </c>
      <c r="F3" s="1" t="str">
        <f t="shared" ref="F3:F13" si="0">IF(E3&lt;30,"劣",IF(E3&lt;60,"差",IF(E3&lt;80,"普","優")))</f>
        <v>普</v>
      </c>
      <c r="G3" s="3">
        <v>1</v>
      </c>
    </row>
    <row r="4" spans="2:7">
      <c r="B4" s="1" t="s">
        <v>8</v>
      </c>
      <c r="C4" s="1" t="s">
        <v>15</v>
      </c>
      <c r="D4" s="1" t="s">
        <v>1</v>
      </c>
      <c r="E4" s="3">
        <v>70</v>
      </c>
      <c r="F4" s="1" t="str">
        <f t="shared" si="0"/>
        <v>普</v>
      </c>
      <c r="G4" s="3">
        <v>2</v>
      </c>
    </row>
    <row r="5" spans="2:7">
      <c r="B5" s="1" t="s">
        <v>8</v>
      </c>
      <c r="C5" s="1" t="s">
        <v>16</v>
      </c>
      <c r="D5" s="1" t="s">
        <v>17</v>
      </c>
      <c r="E5" s="3">
        <v>100</v>
      </c>
      <c r="F5" s="1" t="str">
        <f t="shared" si="0"/>
        <v>優</v>
      </c>
      <c r="G5" s="3">
        <v>3</v>
      </c>
    </row>
    <row r="6" spans="2:7">
      <c r="B6" s="1" t="s">
        <v>6</v>
      </c>
      <c r="C6" s="1" t="s">
        <v>16</v>
      </c>
      <c r="D6" s="1" t="s">
        <v>9</v>
      </c>
      <c r="E6" s="3">
        <v>80</v>
      </c>
      <c r="F6" s="1" t="str">
        <f t="shared" si="0"/>
        <v>優</v>
      </c>
      <c r="G6" s="3">
        <v>1</v>
      </c>
    </row>
    <row r="7" spans="2:7">
      <c r="B7" s="1" t="s">
        <v>10</v>
      </c>
      <c r="C7" s="1" t="s">
        <v>14</v>
      </c>
      <c r="D7" s="1" t="s">
        <v>7</v>
      </c>
      <c r="E7" s="3">
        <v>90</v>
      </c>
      <c r="F7" s="1" t="str">
        <f t="shared" si="0"/>
        <v>優</v>
      </c>
      <c r="G7" s="3">
        <v>2</v>
      </c>
    </row>
    <row r="8" spans="2:7">
      <c r="B8" s="1" t="s">
        <v>10</v>
      </c>
      <c r="C8" s="1" t="s">
        <v>15</v>
      </c>
      <c r="D8" s="1" t="s">
        <v>1</v>
      </c>
      <c r="E8" s="3">
        <v>40</v>
      </c>
      <c r="F8" s="1" t="str">
        <f t="shared" si="0"/>
        <v>差</v>
      </c>
      <c r="G8" s="3">
        <v>3</v>
      </c>
    </row>
    <row r="9" spans="2:7">
      <c r="B9" s="1" t="s">
        <v>11</v>
      </c>
      <c r="C9" s="1" t="s">
        <v>14</v>
      </c>
      <c r="D9" s="1" t="s">
        <v>7</v>
      </c>
      <c r="E9" s="3">
        <v>30</v>
      </c>
      <c r="F9" s="1" t="str">
        <f t="shared" si="0"/>
        <v>差</v>
      </c>
      <c r="G9" s="3">
        <v>1</v>
      </c>
    </row>
    <row r="10" spans="2:7">
      <c r="B10" s="1" t="s">
        <v>10</v>
      </c>
      <c r="C10" s="1" t="s">
        <v>14</v>
      </c>
      <c r="D10" s="1" t="s">
        <v>7</v>
      </c>
      <c r="E10" s="3">
        <v>60</v>
      </c>
      <c r="F10" s="1" t="str">
        <f t="shared" si="0"/>
        <v>普</v>
      </c>
      <c r="G10" s="3">
        <v>1</v>
      </c>
    </row>
    <row r="11" spans="2:7">
      <c r="B11" s="1" t="s">
        <v>11</v>
      </c>
      <c r="C11" s="1" t="s">
        <v>15</v>
      </c>
      <c r="D11" s="1" t="s">
        <v>1</v>
      </c>
      <c r="E11" s="3">
        <v>10</v>
      </c>
      <c r="F11" s="1" t="str">
        <f t="shared" si="0"/>
        <v>劣</v>
      </c>
      <c r="G11" s="3">
        <v>2</v>
      </c>
    </row>
    <row r="12" spans="2:7">
      <c r="B12" s="1" t="s">
        <v>10</v>
      </c>
      <c r="C12" s="1" t="s">
        <v>16</v>
      </c>
      <c r="D12" s="1" t="s">
        <v>9</v>
      </c>
      <c r="E12" s="3">
        <v>20</v>
      </c>
      <c r="F12" s="1" t="str">
        <f t="shared" si="0"/>
        <v>劣</v>
      </c>
      <c r="G12" s="3">
        <v>2</v>
      </c>
    </row>
    <row r="13" spans="2:7">
      <c r="B13" s="1" t="s">
        <v>8</v>
      </c>
      <c r="C13" s="1" t="s">
        <v>16</v>
      </c>
      <c r="D13" s="1" t="s">
        <v>9</v>
      </c>
      <c r="E13" s="3">
        <v>50</v>
      </c>
      <c r="F13" s="1" t="str">
        <f t="shared" si="0"/>
        <v>差</v>
      </c>
      <c r="G13" s="3">
        <v>3</v>
      </c>
    </row>
    <row r="15" spans="2:7">
      <c r="B15" s="1" t="s">
        <v>0</v>
      </c>
      <c r="C15" s="2" t="s">
        <v>13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>
      <c r="D16" t="s">
        <v>17</v>
      </c>
    </row>
    <row r="17" spans="1:4">
      <c r="D17" t="s">
        <v>7</v>
      </c>
    </row>
    <row r="19" spans="1:4">
      <c r="A19" t="s">
        <v>18</v>
      </c>
      <c r="B19">
        <f>DAVERAGE($B$2:$G$13,"成績",$B$15:$G$17)</f>
        <v>61.875</v>
      </c>
    </row>
    <row r="23" spans="1:4">
      <c r="B23" s="4" t="s">
        <v>19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selection activeCell="H17" sqref="H17"/>
    </sheetView>
  </sheetViews>
  <sheetFormatPr defaultRowHeight="16.2"/>
  <cols>
    <col min="2" max="3" width="9.44140625" bestFit="1" customWidth="1"/>
    <col min="4" max="6" width="4.77734375" bestFit="1" customWidth="1"/>
    <col min="7" max="7" width="8" bestFit="1" customWidth="1"/>
  </cols>
  <sheetData>
    <row r="1" spans="2:7">
      <c r="F1" t="s">
        <v>12</v>
      </c>
    </row>
    <row r="2" spans="2:7">
      <c r="B2" s="1" t="s">
        <v>0</v>
      </c>
      <c r="C2" s="2" t="s">
        <v>13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>
      <c r="B3" s="1" t="s">
        <v>6</v>
      </c>
      <c r="C3" s="1" t="s">
        <v>14</v>
      </c>
      <c r="D3" s="1" t="s">
        <v>7</v>
      </c>
      <c r="E3" s="3">
        <v>65</v>
      </c>
      <c r="F3" s="1" t="str">
        <f t="shared" ref="F3:F13" si="0">IF(E3&lt;30,"劣",IF(E3&lt;60,"差",IF(E3&lt;80,"普","優")))</f>
        <v>普</v>
      </c>
      <c r="G3" s="3">
        <v>1</v>
      </c>
    </row>
    <row r="4" spans="2:7">
      <c r="B4" s="1" t="s">
        <v>8</v>
      </c>
      <c r="C4" s="1" t="s">
        <v>15</v>
      </c>
      <c r="D4" s="1" t="s">
        <v>1</v>
      </c>
      <c r="E4" s="3">
        <v>70</v>
      </c>
      <c r="F4" s="1" t="str">
        <f t="shared" si="0"/>
        <v>普</v>
      </c>
      <c r="G4" s="3">
        <v>2</v>
      </c>
    </row>
    <row r="5" spans="2:7">
      <c r="B5" s="1" t="s">
        <v>8</v>
      </c>
      <c r="C5" s="1" t="s">
        <v>16</v>
      </c>
      <c r="D5" s="1" t="s">
        <v>17</v>
      </c>
      <c r="E5" s="3">
        <v>100</v>
      </c>
      <c r="F5" s="1" t="str">
        <f t="shared" si="0"/>
        <v>優</v>
      </c>
      <c r="G5" s="3">
        <v>3</v>
      </c>
    </row>
    <row r="6" spans="2:7">
      <c r="B6" s="1" t="s">
        <v>6</v>
      </c>
      <c r="C6" s="1" t="s">
        <v>16</v>
      </c>
      <c r="D6" s="1" t="s">
        <v>9</v>
      </c>
      <c r="E6" s="3">
        <v>80</v>
      </c>
      <c r="F6" s="1" t="str">
        <f t="shared" si="0"/>
        <v>優</v>
      </c>
      <c r="G6" s="3">
        <v>1</v>
      </c>
    </row>
    <row r="7" spans="2:7">
      <c r="B7" s="1" t="s">
        <v>10</v>
      </c>
      <c r="C7" s="1" t="s">
        <v>14</v>
      </c>
      <c r="D7" s="1" t="s">
        <v>7</v>
      </c>
      <c r="E7" s="3">
        <v>90</v>
      </c>
      <c r="F7" s="1" t="str">
        <f t="shared" si="0"/>
        <v>優</v>
      </c>
      <c r="G7" s="3">
        <v>2</v>
      </c>
    </row>
    <row r="8" spans="2:7">
      <c r="B8" s="1" t="s">
        <v>10</v>
      </c>
      <c r="C8" s="1" t="s">
        <v>15</v>
      </c>
      <c r="D8" s="1" t="s">
        <v>1</v>
      </c>
      <c r="E8" s="3">
        <v>40</v>
      </c>
      <c r="F8" s="1" t="str">
        <f t="shared" si="0"/>
        <v>差</v>
      </c>
      <c r="G8" s="3">
        <v>3</v>
      </c>
    </row>
    <row r="9" spans="2:7">
      <c r="B9" s="1" t="s">
        <v>11</v>
      </c>
      <c r="C9" s="1" t="s">
        <v>14</v>
      </c>
      <c r="D9" s="1" t="s">
        <v>7</v>
      </c>
      <c r="E9" s="3">
        <v>30</v>
      </c>
      <c r="F9" s="1" t="str">
        <f t="shared" si="0"/>
        <v>差</v>
      </c>
      <c r="G9" s="3">
        <v>1</v>
      </c>
    </row>
    <row r="10" spans="2:7">
      <c r="B10" s="1" t="s">
        <v>10</v>
      </c>
      <c r="C10" s="1" t="s">
        <v>14</v>
      </c>
      <c r="D10" s="1" t="s">
        <v>7</v>
      </c>
      <c r="E10" s="3">
        <v>60</v>
      </c>
      <c r="F10" s="1" t="str">
        <f t="shared" si="0"/>
        <v>普</v>
      </c>
      <c r="G10" s="3">
        <v>1</v>
      </c>
    </row>
    <row r="11" spans="2:7">
      <c r="B11" s="1" t="s">
        <v>11</v>
      </c>
      <c r="C11" s="1" t="s">
        <v>15</v>
      </c>
      <c r="D11" s="1" t="s">
        <v>1</v>
      </c>
      <c r="E11" s="3">
        <v>10</v>
      </c>
      <c r="F11" s="1" t="str">
        <f t="shared" si="0"/>
        <v>劣</v>
      </c>
      <c r="G11" s="3">
        <v>2</v>
      </c>
    </row>
    <row r="12" spans="2:7">
      <c r="B12" s="1" t="s">
        <v>10</v>
      </c>
      <c r="C12" s="1" t="s">
        <v>16</v>
      </c>
      <c r="D12" s="1" t="s">
        <v>9</v>
      </c>
      <c r="E12" s="3">
        <v>20</v>
      </c>
      <c r="F12" s="1" t="str">
        <f t="shared" si="0"/>
        <v>劣</v>
      </c>
      <c r="G12" s="3">
        <v>2</v>
      </c>
    </row>
    <row r="13" spans="2:7">
      <c r="B13" s="1" t="s">
        <v>8</v>
      </c>
      <c r="C13" s="1" t="s">
        <v>16</v>
      </c>
      <c r="D13" s="1" t="s">
        <v>9</v>
      </c>
      <c r="E13" s="3">
        <v>50</v>
      </c>
      <c r="F13" s="1" t="str">
        <f t="shared" si="0"/>
        <v>差</v>
      </c>
      <c r="G13" s="3">
        <v>3</v>
      </c>
    </row>
    <row r="15" spans="2:7">
      <c r="B15" s="1" t="s">
        <v>0</v>
      </c>
      <c r="C15" s="2" t="s">
        <v>13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>
      <c r="D16" t="s">
        <v>17</v>
      </c>
    </row>
    <row r="19" spans="1:2">
      <c r="A19" t="s">
        <v>18</v>
      </c>
      <c r="B19">
        <f>DAVERAGE($B$2:$G$13,"成績",$B$15:$G$16)</f>
        <v>62.5</v>
      </c>
    </row>
    <row r="23" spans="1:2">
      <c r="B23" s="4" t="s">
        <v>19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資料庫函數 (4)</vt:lpstr>
      <vt:lpstr>資料庫函數 (3)</vt:lpstr>
      <vt:lpstr>資料庫函數 (2)</vt:lpstr>
      <vt:lpstr>資料庫函數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2017-09-29T03:19:18Z</dcterms:modified>
</cp:coreProperties>
</file>