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葉怡成\0 My Documents\book\31-2 證券投資分析─使用Excel實作\第2章 Excel入門1：公式、函數、繪圖\習題\"/>
    </mc:Choice>
  </mc:AlternateContent>
  <bookViews>
    <workbookView xWindow="240" yWindow="96" windowWidth="11712" windowHeight="8676"/>
  </bookViews>
  <sheets>
    <sheet name="數學函數" sheetId="7" r:id="rId1"/>
  </sheets>
  <calcPr calcId="162913"/>
</workbook>
</file>

<file path=xl/calcChain.xml><?xml version="1.0" encoding="utf-8"?>
<calcChain xmlns="http://schemas.openxmlformats.org/spreadsheetml/2006/main">
  <c r="C12" i="7" l="1"/>
  <c r="D12" i="7"/>
  <c r="E12" i="7"/>
  <c r="B12" i="7"/>
  <c r="B10" i="7" l="1"/>
  <c r="B9" i="7"/>
  <c r="H2" i="7"/>
  <c r="G2" i="7"/>
  <c r="G3" i="7" l="1"/>
  <c r="I3" i="7" s="1"/>
  <c r="G4" i="7"/>
  <c r="I4" i="7" s="1"/>
  <c r="G5" i="7"/>
  <c r="H5" i="7" s="1"/>
  <c r="G6" i="7"/>
  <c r="I6" i="7" s="1"/>
  <c r="I2" i="7"/>
  <c r="H4" i="7"/>
  <c r="H6" i="7"/>
  <c r="F3" i="7"/>
  <c r="F4" i="7"/>
  <c r="F5" i="7"/>
  <c r="F6" i="7"/>
  <c r="F2" i="7"/>
  <c r="C9" i="7"/>
  <c r="D9" i="7"/>
  <c r="E9" i="7"/>
  <c r="C11" i="7"/>
  <c r="D11" i="7"/>
  <c r="E11" i="7"/>
  <c r="B11" i="7"/>
  <c r="C10" i="7"/>
  <c r="D10" i="7"/>
  <c r="E10" i="7"/>
  <c r="H3" i="7"/>
  <c r="I5" i="7" l="1"/>
</calcChain>
</file>

<file path=xl/sharedStrings.xml><?xml version="1.0" encoding="utf-8"?>
<sst xmlns="http://schemas.openxmlformats.org/spreadsheetml/2006/main" count="22" uniqueCount="22">
  <si>
    <t>王建民</t>
    <phoneticPr fontId="1" type="noConversion"/>
  </si>
  <si>
    <t>李商隱</t>
    <phoneticPr fontId="1" type="noConversion"/>
  </si>
  <si>
    <t>吳郭魚</t>
    <phoneticPr fontId="1" type="noConversion"/>
  </si>
  <si>
    <t>林語堂</t>
    <phoneticPr fontId="1" type="noConversion"/>
  </si>
  <si>
    <t>朱元璋</t>
    <phoneticPr fontId="1" type="noConversion"/>
  </si>
  <si>
    <t>RAND</t>
    <phoneticPr fontId="1" type="noConversion"/>
  </si>
  <si>
    <t>COUNTIF</t>
    <phoneticPr fontId="1" type="noConversion"/>
  </si>
  <si>
    <t>SUMIF</t>
    <phoneticPr fontId="1" type="noConversion"/>
  </si>
  <si>
    <t>學生</t>
    <phoneticPr fontId="1" type="noConversion"/>
  </si>
  <si>
    <t>計概</t>
    <phoneticPr fontId="1" type="noConversion"/>
  </si>
  <si>
    <t>微積分</t>
    <phoneticPr fontId="1" type="noConversion"/>
  </si>
  <si>
    <t>管數</t>
    <phoneticPr fontId="1" type="noConversion"/>
  </si>
  <si>
    <t>程式</t>
    <phoneticPr fontId="1" type="noConversion"/>
  </si>
  <si>
    <t>(及格人數)</t>
    <phoneticPr fontId="1" type="noConversion"/>
  </si>
  <si>
    <t>(及格者平均)</t>
    <phoneticPr fontId="1" type="noConversion"/>
  </si>
  <si>
    <t>加權平均</t>
    <phoneticPr fontId="1" type="noConversion"/>
  </si>
  <si>
    <t>權重</t>
    <phoneticPr fontId="1" type="noConversion"/>
  </si>
  <si>
    <t>INT取整數</t>
    <phoneticPr fontId="1" type="noConversion"/>
  </si>
  <si>
    <t>ROUND取四捨五入</t>
    <phoneticPr fontId="1" type="noConversion"/>
  </si>
  <si>
    <t>平均</t>
    <phoneticPr fontId="1" type="noConversion"/>
  </si>
  <si>
    <t>0~1均佈亂數</t>
    <phoneticPr fontId="1" type="noConversion"/>
  </si>
  <si>
    <t>(不及格者平均)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</si>
</sst>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0_ "/>
  </numFmts>
  <fonts count="3"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11"/>
      <color rgb="FF000000"/>
      <name val="新細明體"/>
      <family val="1"/>
      <charset val="136"/>
    </font>
  </fonts>
  <fills count="4">
    <fill>
      <patternFill patternType="none"/>
    </fill>
    <fill>
      <patternFill patternType="gray125"/>
    </fill>
    <fill>
      <patternFill patternType="solid">
        <fgColor indexed="11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2" borderId="0" xfId="0" applyFill="1">
      <alignment vertical="center"/>
    </xf>
    <xf numFmtId="176" fontId="0" fillId="0" borderId="0" xfId="0" applyNumberFormat="1">
      <alignment vertical="center"/>
    </xf>
    <xf numFmtId="0" fontId="2" fillId="0" borderId="0" xfId="0" applyFont="1">
      <alignment vertical="center"/>
    </xf>
    <xf numFmtId="0" fontId="0" fillId="3" borderId="0" xfId="0" applyFill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7620</xdr:colOff>
      <xdr:row>1</xdr:row>
      <xdr:rowOff>0</xdr:rowOff>
    </xdr:from>
    <xdr:to>
      <xdr:col>19</xdr:col>
      <xdr:colOff>266700</xdr:colOff>
      <xdr:row>18</xdr:row>
      <xdr:rowOff>121920</xdr:rowOff>
    </xdr:to>
    <xdr:sp macro="" textlink="">
      <xdr:nvSpPr>
        <xdr:cNvPr id="3" name="文字方塊 2"/>
        <xdr:cNvSpPr txBox="1"/>
      </xdr:nvSpPr>
      <xdr:spPr>
        <a:xfrm>
          <a:off x="6103620" y="205740"/>
          <a:ext cx="5745480" cy="3619500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zh-TW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數學與基本運算函數</a:t>
          </a:r>
          <a:endParaRPr lang="en-US" altLang="zh-TW" sz="14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zh-TW" sz="14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F2</a:t>
          </a:r>
          <a:r>
            <a:rPr lang="zh-TW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函數「</a:t>
          </a:r>
          <a:r>
            <a:rPr lang="en-US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=average(B2:E2)</a:t>
          </a:r>
          <a:r>
            <a:rPr lang="zh-TW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」</a:t>
          </a:r>
          <a:r>
            <a:rPr lang="zh-TW" altLang="en-US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取平均</a:t>
          </a:r>
          <a:endParaRPr lang="en-US" altLang="zh-TW" sz="14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G2</a:t>
          </a:r>
          <a:r>
            <a:rPr lang="zh-TW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函數「</a:t>
          </a:r>
          <a:r>
            <a:rPr lang="en-US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=(B2*$B$7+C2*$C$7+D2*$D$7+E2*$E$7)/SUM($B$7:$E$7)</a:t>
          </a:r>
          <a:r>
            <a:rPr lang="zh-TW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」</a:t>
          </a:r>
          <a:endParaRPr lang="zh-TW" altLang="zh-TW" sz="1400">
            <a:effectLst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H2</a:t>
          </a:r>
          <a:r>
            <a:rPr lang="zh-TW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函數「</a:t>
          </a:r>
          <a:r>
            <a:rPr lang="en-US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=INT(G2)</a:t>
          </a:r>
          <a:r>
            <a:rPr lang="zh-TW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」</a:t>
          </a:r>
          <a:r>
            <a:rPr lang="zh-TW" altLang="en-US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取整數</a:t>
          </a:r>
          <a:endParaRPr lang="zh-TW" altLang="zh-TW" sz="1400">
            <a:effectLst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I2</a:t>
          </a:r>
          <a:r>
            <a:rPr lang="zh-TW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函數「</a:t>
          </a:r>
          <a:r>
            <a:rPr lang="en-US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=ROUND(G2,2)</a:t>
          </a:r>
          <a:r>
            <a:rPr lang="zh-TW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」</a:t>
          </a:r>
          <a:r>
            <a:rPr lang="zh-TW" altLang="en-US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取四捨五入</a:t>
          </a:r>
          <a:endParaRPr lang="en-US" altLang="zh-TW" sz="14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zh-TW" sz="14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B9</a:t>
          </a:r>
          <a:r>
            <a:rPr lang="zh-TW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函數「</a:t>
          </a:r>
          <a:r>
            <a:rPr lang="en-US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=RAND()</a:t>
          </a:r>
          <a:r>
            <a:rPr lang="zh-TW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」產生</a:t>
          </a:r>
          <a:r>
            <a:rPr lang="en-US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0~1</a:t>
          </a:r>
          <a:r>
            <a:rPr lang="zh-TW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均佈亂數</a:t>
          </a:r>
          <a:endParaRPr lang="en-US" altLang="zh-TW" sz="14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B9</a:t>
          </a:r>
          <a:r>
            <a:rPr lang="zh-TW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函數「</a:t>
          </a:r>
          <a:r>
            <a:rPr lang="en-US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=COUNTIF(B2:B6,"&gt;=60")</a:t>
          </a:r>
          <a:r>
            <a:rPr lang="zh-TW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」</a:t>
          </a:r>
          <a:r>
            <a:rPr lang="zh-TW" altLang="en-US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計算及格人數</a:t>
          </a:r>
          <a:endParaRPr lang="zh-TW" altLang="zh-TW" sz="14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B9</a:t>
          </a:r>
          <a:r>
            <a:rPr lang="zh-TW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函數「</a:t>
          </a:r>
          <a:r>
            <a:rPr lang="en-US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=SUMIF(B2:B6,"&gt;=60")/COUNTIF(B2:B6,"&gt;=60")</a:t>
          </a:r>
          <a:r>
            <a:rPr lang="zh-TW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」計算及格</a:t>
          </a:r>
          <a:r>
            <a:rPr lang="zh-TW" altLang="en-US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者的平均成績</a:t>
          </a:r>
          <a:endParaRPr lang="en-US" altLang="zh-TW" sz="14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zh-TW" sz="14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zh-TW" altLang="en-US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自行練習：</a:t>
          </a:r>
          <a:endParaRPr lang="en-US" altLang="zh-TW" sz="14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zh-TW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計算</a:t>
          </a:r>
          <a:r>
            <a:rPr lang="zh-TW" altLang="en-US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不</a:t>
          </a:r>
          <a:r>
            <a:rPr lang="zh-TW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及格者的平均成績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2"/>
  <sheetViews>
    <sheetView tabSelected="1" workbookViewId="0">
      <selection activeCell="F19" sqref="F19"/>
    </sheetView>
  </sheetViews>
  <sheetFormatPr defaultRowHeight="16.2"/>
  <sheetData>
    <row r="1" spans="1:12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19</v>
      </c>
      <c r="G1" t="s">
        <v>15</v>
      </c>
      <c r="H1" t="s">
        <v>17</v>
      </c>
      <c r="I1" t="s">
        <v>18</v>
      </c>
    </row>
    <row r="2" spans="1:12">
      <c r="A2" t="s">
        <v>0</v>
      </c>
      <c r="B2" s="1">
        <v>88</v>
      </c>
      <c r="C2" s="1">
        <v>90</v>
      </c>
      <c r="D2" s="1">
        <v>60</v>
      </c>
      <c r="E2" s="1">
        <v>27</v>
      </c>
      <c r="F2">
        <f>AVERAGE(B2:E2)</f>
        <v>66.25</v>
      </c>
      <c r="G2">
        <f>(B2*$B$7+C2*$C$7+D2*$D$7+E2*$E$7)/SUM($B$7:$E$7)</f>
        <v>63.5</v>
      </c>
      <c r="H2">
        <f>INT(G2)</f>
        <v>63</v>
      </c>
      <c r="I2" s="2">
        <f>ROUND(G2,2)</f>
        <v>63.5</v>
      </c>
      <c r="L2" s="3"/>
    </row>
    <row r="3" spans="1:12">
      <c r="A3" t="s">
        <v>1</v>
      </c>
      <c r="B3" s="1">
        <v>13</v>
      </c>
      <c r="C3" s="1">
        <v>50</v>
      </c>
      <c r="D3" s="1">
        <v>40</v>
      </c>
      <c r="E3" s="1">
        <v>40</v>
      </c>
      <c r="F3" s="2">
        <f>AVERAGE(B3:E3)</f>
        <v>35.75</v>
      </c>
      <c r="G3">
        <f>(B3*$B$7+C3*$C$7+D3*$D$7+E3*$E$7)/SUM($B$7:$E$7)</f>
        <v>35.75</v>
      </c>
      <c r="H3">
        <f>INT(G3)</f>
        <v>35</v>
      </c>
      <c r="I3" s="2">
        <f>ROUND(G3,2)</f>
        <v>35.75</v>
      </c>
    </row>
    <row r="4" spans="1:12">
      <c r="A4" t="s">
        <v>2</v>
      </c>
      <c r="B4" s="1">
        <v>50</v>
      </c>
      <c r="C4" s="1">
        <v>30</v>
      </c>
      <c r="D4" s="1">
        <v>30</v>
      </c>
      <c r="E4" s="1">
        <v>30</v>
      </c>
      <c r="F4">
        <f>AVERAGE(B4:E4)</f>
        <v>35</v>
      </c>
      <c r="G4">
        <f>(B4*$B$7+C4*$C$7+D4*$D$7+E4*$E$7)/SUM($B$7:$E$7)</f>
        <v>35</v>
      </c>
      <c r="H4">
        <f>INT(G4)</f>
        <v>35</v>
      </c>
      <c r="I4" s="2">
        <f>ROUND(G4,2)</f>
        <v>35</v>
      </c>
    </row>
    <row r="5" spans="1:12">
      <c r="A5" t="s">
        <v>3</v>
      </c>
      <c r="B5" s="1">
        <v>67</v>
      </c>
      <c r="C5" s="1">
        <v>33</v>
      </c>
      <c r="D5" s="1">
        <v>20</v>
      </c>
      <c r="E5" s="1">
        <v>20</v>
      </c>
      <c r="F5">
        <f>AVERAGE(B5:E5)</f>
        <v>35</v>
      </c>
      <c r="G5">
        <f>(B5*$B$7+C5*$C$7+D5*$D$7+E5*$E$7)/SUM($B$7:$E$7)</f>
        <v>35</v>
      </c>
      <c r="H5">
        <f>INT(G5)</f>
        <v>35</v>
      </c>
      <c r="I5" s="2">
        <f>ROUND(G5,2)</f>
        <v>35</v>
      </c>
    </row>
    <row r="6" spans="1:12">
      <c r="A6" t="s">
        <v>4</v>
      </c>
      <c r="B6" s="1">
        <v>80</v>
      </c>
      <c r="C6" s="1">
        <v>70</v>
      </c>
      <c r="D6" s="1">
        <v>10</v>
      </c>
      <c r="E6" s="1">
        <v>60</v>
      </c>
      <c r="F6">
        <f>AVERAGE(B6:E6)</f>
        <v>55</v>
      </c>
      <c r="G6">
        <f>(B6*$B$7+C6*$C$7+D6*$D$7+E6*$E$7)/SUM($B$7:$E$7)</f>
        <v>59.166666666666664</v>
      </c>
      <c r="H6">
        <f>INT(G6)</f>
        <v>59</v>
      </c>
      <c r="I6" s="2">
        <f>ROUND(G6,2)</f>
        <v>59.17</v>
      </c>
    </row>
    <row r="7" spans="1:12">
      <c r="A7" t="s">
        <v>16</v>
      </c>
      <c r="B7">
        <v>3</v>
      </c>
      <c r="C7">
        <v>3</v>
      </c>
      <c r="D7">
        <v>2</v>
      </c>
      <c r="E7">
        <v>4</v>
      </c>
      <c r="I7" s="2"/>
    </row>
    <row r="9" spans="1:12">
      <c r="A9" t="s">
        <v>5</v>
      </c>
      <c r="B9">
        <f ca="1">RAND()</f>
        <v>0.21563434728322117</v>
      </c>
      <c r="C9">
        <f ca="1">RAND()</f>
        <v>0.49202014676729733</v>
      </c>
      <c r="D9">
        <f ca="1">RAND()</f>
        <v>0.57322922249768848</v>
      </c>
      <c r="E9">
        <f ca="1">RAND()</f>
        <v>0.4937714273000311</v>
      </c>
      <c r="F9" t="s">
        <v>20</v>
      </c>
    </row>
    <row r="10" spans="1:12">
      <c r="A10" t="s">
        <v>6</v>
      </c>
      <c r="B10">
        <f>COUNTIF(B2:B6,"&gt;=60")</f>
        <v>3</v>
      </c>
      <c r="C10">
        <f>COUNTIF(C2:C6,"&gt;=60")</f>
        <v>2</v>
      </c>
      <c r="D10">
        <f>COUNTIF(D2:D6,"&gt;=60")</f>
        <v>1</v>
      </c>
      <c r="E10">
        <f>COUNTIF(E2:E6,"&gt;=60")</f>
        <v>1</v>
      </c>
      <c r="F10" t="s">
        <v>13</v>
      </c>
    </row>
    <row r="11" spans="1:12">
      <c r="A11" t="s">
        <v>7</v>
      </c>
      <c r="B11">
        <f>SUMIF(B2:B6,"&gt;=60")/COUNTIF(B2:B6,"&gt;=60")</f>
        <v>78.333333333333329</v>
      </c>
      <c r="C11">
        <f>SUMIF(C2:C6,"&gt;=60")/COUNTIF(C2:C6,"&gt;=60")</f>
        <v>80</v>
      </c>
      <c r="D11">
        <f>SUMIF(D2:D6,"&gt;=60")/COUNTIF(D2:D6,"&gt;=60")</f>
        <v>60</v>
      </c>
      <c r="E11">
        <f>SUMIF(E2:E6,"&gt;=60")/COUNTIF(E2:E6,"&gt;=60")</f>
        <v>60</v>
      </c>
      <c r="F11" t="s">
        <v>14</v>
      </c>
    </row>
    <row r="12" spans="1:12">
      <c r="B12" s="4">
        <f>SUMIF(B2:B6,"&lt;60")/COUNTIF(B2:B6,"&lt;60")</f>
        <v>31.5</v>
      </c>
      <c r="C12" s="4">
        <f t="shared" ref="C12:E12" si="0">SUMIF(C2:C6,"&lt;60")/COUNTIF(C2:C6,"&lt;60")</f>
        <v>37.666666666666664</v>
      </c>
      <c r="D12" s="4">
        <f t="shared" si="0"/>
        <v>25</v>
      </c>
      <c r="E12" s="4">
        <f t="shared" si="0"/>
        <v>29.25</v>
      </c>
      <c r="F12" t="s">
        <v>21</v>
      </c>
    </row>
  </sheetData>
  <phoneticPr fontId="1" type="noConversion"/>
  <pageMargins left="0.75" right="0.75" top="1" bottom="1" header="0.5" footer="0.5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數學函數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</dc:creator>
  <cp:lastModifiedBy>user</cp:lastModifiedBy>
  <dcterms:created xsi:type="dcterms:W3CDTF">2007-10-02T08:25:53Z</dcterms:created>
  <dcterms:modified xsi:type="dcterms:W3CDTF">2017-09-29T03:08:14Z</dcterms:modified>
</cp:coreProperties>
</file>