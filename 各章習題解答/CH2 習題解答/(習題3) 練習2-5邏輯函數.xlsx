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240" yWindow="96" windowWidth="11712" windowHeight="8676"/>
  </bookViews>
  <sheets>
    <sheet name="大聯盟投手 (邏輯函數)" sheetId="5" r:id="rId1"/>
  </sheets>
  <calcPr calcId="162913"/>
</workbook>
</file>

<file path=xl/calcChain.xml><?xml version="1.0" encoding="utf-8"?>
<calcChain xmlns="http://schemas.openxmlformats.org/spreadsheetml/2006/main">
  <c r="K3" i="5" l="1"/>
  <c r="K4" i="5"/>
  <c r="K5" i="5"/>
  <c r="K6" i="5"/>
  <c r="K2" i="5"/>
  <c r="J2" i="5" l="1"/>
  <c r="I2" i="5"/>
  <c r="H2" i="5"/>
  <c r="G2" i="5"/>
  <c r="F3" i="5" l="1"/>
  <c r="J3" i="5" s="1"/>
  <c r="G3" i="5"/>
  <c r="F4" i="5"/>
  <c r="I4" i="5" s="1"/>
  <c r="G4" i="5"/>
  <c r="H4" i="5"/>
  <c r="J4" i="5"/>
  <c r="F5" i="5"/>
  <c r="I5" i="5" s="1"/>
  <c r="G5" i="5"/>
  <c r="H5" i="5" s="1"/>
  <c r="J5" i="5"/>
  <c r="F6" i="5"/>
  <c r="H6" i="5" s="1"/>
  <c r="G6" i="5"/>
  <c r="F2" i="5"/>
  <c r="D2" i="5"/>
  <c r="E2" i="5"/>
  <c r="D3" i="5"/>
  <c r="E3" i="5"/>
  <c r="D4" i="5"/>
  <c r="E4" i="5"/>
  <c r="D5" i="5"/>
  <c r="E5" i="5"/>
  <c r="D6" i="5"/>
  <c r="E6" i="5"/>
  <c r="I6" i="5"/>
  <c r="H3" i="5"/>
  <c r="J6" i="5" l="1"/>
  <c r="I3" i="5"/>
</calcChain>
</file>

<file path=xl/sharedStrings.xml><?xml version="1.0" encoding="utf-8"?>
<sst xmlns="http://schemas.openxmlformats.org/spreadsheetml/2006/main" count="16" uniqueCount="16">
  <si>
    <t>大聯盟投手</t>
    <phoneticPr fontId="1" type="noConversion"/>
  </si>
  <si>
    <t>場數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</si>
  <si>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</si>
  <si>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</si>
  <si>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</si>
  <si>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王建民</t>
    <phoneticPr fontId="1" type="noConversion"/>
  </si>
  <si>
    <t>朱元璋</t>
    <phoneticPr fontId="1" type="noConversion"/>
  </si>
  <si>
    <t>(勝投&gt;15)且(敗投&lt;10)</t>
    <phoneticPr fontId="1" type="noConversion"/>
  </si>
  <si>
    <t>NOT函數</t>
    <phoneticPr fontId="1" type="noConversion"/>
  </si>
  <si>
    <t>勝場(Win)</t>
    <phoneticPr fontId="1" type="noConversion"/>
  </si>
  <si>
    <t>敗場(Lose)</t>
    <phoneticPr fontId="1" type="noConversion"/>
  </si>
  <si>
    <t>勝率(Win Ratio)</t>
    <phoneticPr fontId="1" type="noConversion"/>
  </si>
  <si>
    <t>勝投&gt;15</t>
    <phoneticPr fontId="1" type="noConversion"/>
  </si>
  <si>
    <t>敗投&lt;10</t>
    <phoneticPr fontId="1" type="noConversion"/>
  </si>
  <si>
    <t>(勝投&gt;15)或(敗投&lt;11)</t>
    <phoneticPr fontId="1" type="noConversion"/>
  </si>
  <si>
    <r>
      <t>判定是否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勝投</t>
    </r>
    <r>
      <rPr>
        <sz val="12"/>
        <rFont val="Times New Roman"/>
        <family val="1"/>
      </rPr>
      <t>&gt;15)</t>
    </r>
    <r>
      <rPr>
        <sz val="12"/>
        <rFont val="新細明體"/>
        <family val="1"/>
        <charset val="136"/>
      </rPr>
      <t>且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敗投</t>
    </r>
    <r>
      <rPr>
        <sz val="12"/>
        <rFont val="Times New Roman"/>
        <family val="1"/>
      </rPr>
      <t>&lt;10)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</si>
</sst>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8</xdr:col>
      <xdr:colOff>1249680</xdr:colOff>
      <xdr:row>19</xdr:row>
      <xdr:rowOff>83820</xdr:rowOff>
    </xdr:to>
    <xdr:sp macro="" textlink="">
      <xdr:nvSpPr>
        <xdr:cNvPr id="2" name="文字方塊 1"/>
        <xdr:cNvSpPr txBox="1"/>
      </xdr:nvSpPr>
      <xdr:spPr>
        <a:xfrm>
          <a:off x="1219200" y="1440180"/>
          <a:ext cx="5745480" cy="25527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邏輯函數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=B2&gt;15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判定是否勝投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=C2&lt;10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=AND(F2,G2)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且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=OR(F2,G2)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&lt;11)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=NOT(F2)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欄寫一個可以「直接」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且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的函數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K12" sqref="K12"/>
    </sheetView>
  </sheetViews>
  <sheetFormatPr defaultRowHeight="16.2"/>
  <cols>
    <col min="8" max="9" width="21.109375" bestFit="1" customWidth="1"/>
    <col min="11" max="11" width="32.33203125" customWidth="1"/>
  </cols>
  <sheetData>
    <row r="1" spans="1:11">
      <c r="A1" t="s">
        <v>0</v>
      </c>
      <c r="B1" t="s">
        <v>9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7</v>
      </c>
      <c r="I1" t="s">
        <v>14</v>
      </c>
      <c r="J1" t="s">
        <v>8</v>
      </c>
      <c r="K1" s="1" t="s">
        <v>15</v>
      </c>
    </row>
    <row r="2" spans="1:11">
      <c r="A2" t="s">
        <v>5</v>
      </c>
      <c r="B2">
        <v>19</v>
      </c>
      <c r="C2">
        <v>7</v>
      </c>
      <c r="D2">
        <f>SUM(B2:C2)</f>
        <v>26</v>
      </c>
      <c r="E2">
        <f>B2/D2</f>
        <v>0.73076923076923073</v>
      </c>
      <c r="F2" t="b">
        <f>B2&gt;15</f>
        <v>1</v>
      </c>
      <c r="G2" t="b">
        <f>C2&lt;10</f>
        <v>1</v>
      </c>
      <c r="H2" t="b">
        <f>AND(F2,G2)</f>
        <v>1</v>
      </c>
      <c r="I2" t="b">
        <f>OR(F2,G2)</f>
        <v>1</v>
      </c>
      <c r="J2" t="b">
        <f>NOT(F2)</f>
        <v>0</v>
      </c>
      <c r="K2" s="1" t="b">
        <f>AND(B2&gt;15,C2&lt;10)</f>
        <v>1</v>
      </c>
    </row>
    <row r="3" spans="1:11">
      <c r="A3" t="s">
        <v>2</v>
      </c>
      <c r="B3">
        <v>17</v>
      </c>
      <c r="C3">
        <v>12</v>
      </c>
      <c r="D3">
        <f>SUM(B3:C3)</f>
        <v>29</v>
      </c>
      <c r="E3">
        <f>B3/D3</f>
        <v>0.58620689655172409</v>
      </c>
      <c r="F3" t="b">
        <f>B3&gt;15</f>
        <v>1</v>
      </c>
      <c r="G3" t="b">
        <f>C3&lt;10</f>
        <v>0</v>
      </c>
      <c r="H3" t="b">
        <f>AND(F3,G3)</f>
        <v>0</v>
      </c>
      <c r="I3" t="b">
        <f>OR(F3,G3)</f>
        <v>1</v>
      </c>
      <c r="J3" t="b">
        <f>NOT(F3)</f>
        <v>0</v>
      </c>
      <c r="K3" s="1" t="b">
        <f t="shared" ref="K3:K6" si="0">AND(B3&gt;15,C3&lt;10)</f>
        <v>0</v>
      </c>
    </row>
    <row r="4" spans="1:11">
      <c r="A4" t="s">
        <v>3</v>
      </c>
      <c r="B4">
        <v>12</v>
      </c>
      <c r="C4">
        <v>14</v>
      </c>
      <c r="D4">
        <f>SUM(B4:C4)</f>
        <v>26</v>
      </c>
      <c r="E4">
        <f>B4/D4</f>
        <v>0.46153846153846156</v>
      </c>
      <c r="F4" t="b">
        <f>B4&gt;15</f>
        <v>0</v>
      </c>
      <c r="G4" t="b">
        <f>C4&lt;10</f>
        <v>0</v>
      </c>
      <c r="H4" t="b">
        <f>AND(F4,G4)</f>
        <v>0</v>
      </c>
      <c r="I4" t="b">
        <f>OR(F4,G4)</f>
        <v>0</v>
      </c>
      <c r="J4" t="b">
        <f>NOT(F4)</f>
        <v>1</v>
      </c>
      <c r="K4" s="1" t="b">
        <f t="shared" si="0"/>
        <v>0</v>
      </c>
    </row>
    <row r="5" spans="1:11">
      <c r="A5" t="s">
        <v>4</v>
      </c>
      <c r="B5">
        <v>5</v>
      </c>
      <c r="C5">
        <v>12</v>
      </c>
      <c r="D5">
        <f>SUM(B5:C5)</f>
        <v>17</v>
      </c>
      <c r="E5">
        <f>B5/D5</f>
        <v>0.29411764705882354</v>
      </c>
      <c r="F5" t="b">
        <f>B5&gt;15</f>
        <v>0</v>
      </c>
      <c r="G5" t="b">
        <f>C5&lt;10</f>
        <v>0</v>
      </c>
      <c r="H5" t="b">
        <f>AND(F5,G5)</f>
        <v>0</v>
      </c>
      <c r="I5" t="b">
        <f>OR(F5,G5)</f>
        <v>0</v>
      </c>
      <c r="J5" t="b">
        <f>NOT(F5)</f>
        <v>1</v>
      </c>
      <c r="K5" s="1" t="b">
        <f t="shared" si="0"/>
        <v>0</v>
      </c>
    </row>
    <row r="6" spans="1:11">
      <c r="A6" t="s">
        <v>6</v>
      </c>
      <c r="B6">
        <v>8</v>
      </c>
      <c r="C6">
        <v>8</v>
      </c>
      <c r="D6">
        <f>SUM(B6:C6)</f>
        <v>16</v>
      </c>
      <c r="E6">
        <f>B6/D6</f>
        <v>0.5</v>
      </c>
      <c r="F6" t="b">
        <f>B6&gt;15</f>
        <v>0</v>
      </c>
      <c r="G6" t="b">
        <f>C6&lt;10</f>
        <v>1</v>
      </c>
      <c r="H6" t="b">
        <f>AND(F6,G6)</f>
        <v>0</v>
      </c>
      <c r="I6" t="b">
        <f>OR(F6,G6)</f>
        <v>1</v>
      </c>
      <c r="J6" t="b">
        <f>NOT(F6)</f>
        <v>1</v>
      </c>
      <c r="K6" s="1" t="b">
        <f t="shared" si="0"/>
        <v>0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大聯盟投手 (邏輯函數)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2017-09-29T03:09:40Z</dcterms:modified>
</cp:coreProperties>
</file>